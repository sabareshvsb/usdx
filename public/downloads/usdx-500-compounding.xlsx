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USDX 500-5050" sheetId="1" r:id="rId1"/>
  </sheets>
  <calcPr calcId="145621"/>
</workbook>
</file>

<file path=xl/calcChain.xml><?xml version="1.0" encoding="utf-8"?>
<calcChain xmlns="http://schemas.openxmlformats.org/spreadsheetml/2006/main">
  <c r="O63" i="1" l="1"/>
  <c r="L63" i="1"/>
  <c r="R62" i="1"/>
  <c r="C62" i="1"/>
  <c r="D62" i="1" s="1"/>
  <c r="R61" i="1"/>
  <c r="C61" i="1"/>
  <c r="D61" i="1" s="1"/>
  <c r="R60" i="1"/>
  <c r="D60" i="1"/>
  <c r="C60" i="1"/>
  <c r="R59" i="1"/>
  <c r="C59" i="1"/>
  <c r="R58" i="1"/>
  <c r="D58" i="1"/>
  <c r="C58" i="1"/>
  <c r="R57" i="1"/>
  <c r="D57" i="1"/>
  <c r="C57" i="1"/>
  <c r="R56" i="1"/>
  <c r="C56" i="1"/>
  <c r="R55" i="1"/>
  <c r="D55" i="1"/>
  <c r="C55" i="1"/>
  <c r="R54" i="1"/>
  <c r="C54" i="1"/>
  <c r="D54" i="1" s="1"/>
  <c r="R53" i="1"/>
  <c r="C53" i="1"/>
  <c r="D53" i="1" s="1"/>
  <c r="R52" i="1"/>
  <c r="T56" i="1" s="1"/>
  <c r="T57" i="1" s="1"/>
  <c r="D52" i="1"/>
  <c r="C52" i="1"/>
  <c r="R51" i="1"/>
  <c r="D51" i="1"/>
  <c r="C51" i="1"/>
  <c r="R50" i="1"/>
  <c r="C50" i="1"/>
  <c r="R49" i="1"/>
  <c r="C49" i="1"/>
  <c r="D49" i="1" s="1"/>
  <c r="R48" i="1"/>
  <c r="C48" i="1"/>
  <c r="D48" i="1" s="1"/>
  <c r="R47" i="1"/>
  <c r="C47" i="1"/>
  <c r="D47" i="1" s="1"/>
  <c r="R46" i="1"/>
  <c r="C46" i="1"/>
  <c r="D46" i="1" s="1"/>
  <c r="R45" i="1"/>
  <c r="D45" i="1"/>
  <c r="C45" i="1"/>
  <c r="R44" i="1"/>
  <c r="C44" i="1"/>
  <c r="R43" i="1"/>
  <c r="C43" i="1"/>
  <c r="D43" i="1" s="1"/>
  <c r="R42" i="1"/>
  <c r="C42" i="1"/>
  <c r="R41" i="1"/>
  <c r="C41" i="1"/>
  <c r="D41" i="1" s="1"/>
  <c r="R40" i="1"/>
  <c r="C40" i="1"/>
  <c r="D40" i="1" s="1"/>
  <c r="R39" i="1"/>
  <c r="D39" i="1"/>
  <c r="C39" i="1"/>
  <c r="R38" i="1"/>
  <c r="C38" i="1"/>
  <c r="D38" i="1" s="1"/>
  <c r="R37" i="1"/>
  <c r="C37" i="1"/>
  <c r="D37" i="1" s="1"/>
  <c r="R36" i="1"/>
  <c r="C36" i="1"/>
  <c r="R35" i="1"/>
  <c r="C35" i="1"/>
  <c r="D35" i="1" s="1"/>
  <c r="R34" i="1"/>
  <c r="C34" i="1"/>
  <c r="D34" i="1" s="1"/>
  <c r="R33" i="1"/>
  <c r="D33" i="1"/>
  <c r="C33" i="1"/>
  <c r="R32" i="1"/>
  <c r="C32" i="1"/>
  <c r="R31" i="1"/>
  <c r="C31" i="1"/>
  <c r="R30" i="1"/>
  <c r="C30" i="1"/>
  <c r="R29" i="1"/>
  <c r="C29" i="1"/>
  <c r="D29" i="1" s="1"/>
  <c r="R28" i="1"/>
  <c r="C28" i="1"/>
  <c r="D28" i="1" s="1"/>
  <c r="R27" i="1"/>
  <c r="C27" i="1"/>
  <c r="D27" i="1" s="1"/>
  <c r="R26" i="1"/>
  <c r="C26" i="1"/>
  <c r="R25" i="1"/>
  <c r="C25" i="1"/>
  <c r="D25" i="1" s="1"/>
  <c r="R24" i="1"/>
  <c r="C24" i="1"/>
  <c r="D24" i="1" s="1"/>
  <c r="R23" i="1"/>
  <c r="C23" i="1"/>
  <c r="D23" i="1" s="1"/>
  <c r="R22" i="1"/>
  <c r="C22" i="1"/>
  <c r="D22" i="1" s="1"/>
  <c r="R21" i="1"/>
  <c r="D21" i="1"/>
  <c r="R20" i="1"/>
  <c r="D20" i="1"/>
  <c r="R19" i="1"/>
  <c r="D19" i="1"/>
  <c r="R18" i="1"/>
  <c r="D18" i="1"/>
  <c r="R17" i="1"/>
  <c r="D17" i="1"/>
  <c r="R16" i="1"/>
  <c r="D16" i="1"/>
  <c r="R15" i="1"/>
  <c r="D15" i="1"/>
  <c r="R14" i="1"/>
  <c r="D14" i="1"/>
  <c r="R13" i="1"/>
  <c r="D13" i="1"/>
  <c r="R12" i="1"/>
  <c r="D12" i="1"/>
  <c r="R11" i="1"/>
  <c r="D11" i="1"/>
  <c r="R10" i="1"/>
  <c r="D10" i="1"/>
  <c r="R9" i="1"/>
  <c r="D9" i="1"/>
  <c r="R8" i="1"/>
  <c r="D8" i="1"/>
  <c r="R7" i="1"/>
  <c r="D7" i="1"/>
  <c r="R6" i="1"/>
  <c r="D6" i="1"/>
  <c r="R5" i="1"/>
  <c r="D5" i="1"/>
  <c r="R4" i="1"/>
  <c r="E4" i="1"/>
  <c r="E5" i="1" s="1"/>
  <c r="D4" i="1"/>
  <c r="N3" i="1"/>
  <c r="G3" i="1"/>
  <c r="H3" i="1" s="1"/>
  <c r="F3" i="1"/>
  <c r="D3" i="1"/>
  <c r="Q4" i="1" s="1"/>
  <c r="Q5" i="1" s="1"/>
  <c r="T22" i="1" l="1"/>
  <c r="T23" i="1" s="1"/>
  <c r="I3" i="1"/>
  <c r="J3" i="1" s="1"/>
  <c r="F4" i="1"/>
  <c r="T30" i="1"/>
  <c r="T31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K3" i="1"/>
  <c r="E6" i="1"/>
  <c r="G5" i="1"/>
  <c r="H5" i="1" s="1"/>
  <c r="I5" i="1" s="1"/>
  <c r="B5" i="1"/>
  <c r="F5" i="1"/>
  <c r="D31" i="1"/>
  <c r="B4" i="1"/>
  <c r="G4" i="1"/>
  <c r="H4" i="1" s="1"/>
  <c r="I4" i="1" s="1"/>
  <c r="D32" i="1"/>
  <c r="R63" i="1"/>
  <c r="D26" i="1"/>
  <c r="D36" i="1"/>
  <c r="D30" i="1"/>
  <c r="T39" i="1"/>
  <c r="T40" i="1" s="1"/>
  <c r="D42" i="1"/>
  <c r="T51" i="1"/>
  <c r="T52" i="1" s="1"/>
  <c r="S56" i="1"/>
  <c r="S62" i="1"/>
  <c r="T62" i="1" s="1"/>
  <c r="D59" i="1"/>
  <c r="T45" i="1"/>
  <c r="T46" i="1" s="1"/>
  <c r="D44" i="1"/>
  <c r="D50" i="1"/>
  <c r="D56" i="1"/>
  <c r="Q27" i="1" l="1"/>
  <c r="Q28" i="1" s="1"/>
  <c r="Q29" i="1" s="1"/>
  <c r="Q30" i="1" s="1"/>
  <c r="K4" i="1"/>
  <c r="J4" i="1"/>
  <c r="L3" i="1"/>
  <c r="Q31" i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E7" i="1"/>
  <c r="G6" i="1"/>
  <c r="H6" i="1" s="1"/>
  <c r="B6" i="1"/>
  <c r="F6" i="1"/>
  <c r="K5" i="1"/>
  <c r="J5" i="1"/>
  <c r="L4" i="1" l="1"/>
  <c r="M4" i="1" s="1"/>
  <c r="N4" i="1" s="1"/>
  <c r="L5" i="1"/>
  <c r="M5" i="1" s="1"/>
  <c r="N5" i="1" s="1"/>
  <c r="E8" i="1"/>
  <c r="G7" i="1"/>
  <c r="H7" i="1" s="1"/>
  <c r="B7" i="1"/>
  <c r="F7" i="1"/>
  <c r="I6" i="1"/>
  <c r="K6" i="1" l="1"/>
  <c r="J6" i="1"/>
  <c r="E9" i="1"/>
  <c r="G8" i="1"/>
  <c r="H8" i="1" s="1"/>
  <c r="B8" i="1"/>
  <c r="F8" i="1"/>
  <c r="I8" i="1" s="1"/>
  <c r="I7" i="1"/>
  <c r="K7" i="1" l="1"/>
  <c r="J7" i="1"/>
  <c r="E10" i="1"/>
  <c r="G9" i="1"/>
  <c r="H9" i="1" s="1"/>
  <c r="B9" i="1"/>
  <c r="F9" i="1"/>
  <c r="K8" i="1"/>
  <c r="L8" i="1" s="1"/>
  <c r="J8" i="1"/>
  <c r="L6" i="1"/>
  <c r="M6" i="1" s="1"/>
  <c r="N6" i="1" s="1"/>
  <c r="E11" i="1" l="1"/>
  <c r="G10" i="1"/>
  <c r="H10" i="1" s="1"/>
  <c r="B10" i="1"/>
  <c r="F10" i="1"/>
  <c r="I9" i="1"/>
  <c r="L7" i="1"/>
  <c r="M7" i="1" s="1"/>
  <c r="N7" i="1" s="1"/>
  <c r="M8" i="1" s="1"/>
  <c r="N8" i="1" s="1"/>
  <c r="I10" i="1" l="1"/>
  <c r="K10" i="1"/>
  <c r="J10" i="1"/>
  <c r="K9" i="1"/>
  <c r="J9" i="1"/>
  <c r="E12" i="1"/>
  <c r="G11" i="1"/>
  <c r="H11" i="1" s="1"/>
  <c r="B11" i="1"/>
  <c r="F11" i="1"/>
  <c r="L9" i="1" l="1"/>
  <c r="M9" i="1" s="1"/>
  <c r="N9" i="1" s="1"/>
  <c r="E13" i="1"/>
  <c r="G12" i="1"/>
  <c r="H12" i="1" s="1"/>
  <c r="B12" i="1"/>
  <c r="F12" i="1"/>
  <c r="I11" i="1"/>
  <c r="L10" i="1"/>
  <c r="M10" i="1" s="1"/>
  <c r="N10" i="1" s="1"/>
  <c r="K11" i="1" l="1"/>
  <c r="J11" i="1"/>
  <c r="E14" i="1"/>
  <c r="G13" i="1"/>
  <c r="H13" i="1" s="1"/>
  <c r="B13" i="1"/>
  <c r="F13" i="1"/>
  <c r="I13" i="1" s="1"/>
  <c r="I12" i="1"/>
  <c r="K12" i="1" l="1"/>
  <c r="J12" i="1"/>
  <c r="K13" i="1"/>
  <c r="J13" i="1"/>
  <c r="L11" i="1"/>
  <c r="M11" i="1" s="1"/>
  <c r="N11" i="1" s="1"/>
  <c r="E15" i="1"/>
  <c r="G14" i="1"/>
  <c r="H14" i="1" s="1"/>
  <c r="B14" i="1"/>
  <c r="F14" i="1"/>
  <c r="L13" i="1" l="1"/>
  <c r="E16" i="1"/>
  <c r="G15" i="1"/>
  <c r="H15" i="1" s="1"/>
  <c r="B15" i="1"/>
  <c r="F15" i="1"/>
  <c r="I14" i="1"/>
  <c r="L12" i="1"/>
  <c r="M12" i="1" s="1"/>
  <c r="N12" i="1" s="1"/>
  <c r="M13" i="1" s="1"/>
  <c r="N13" i="1" s="1"/>
  <c r="I15" i="1" l="1"/>
  <c r="K15" i="1"/>
  <c r="J15" i="1"/>
  <c r="K14" i="1"/>
  <c r="J14" i="1"/>
  <c r="E17" i="1"/>
  <c r="G16" i="1"/>
  <c r="H16" i="1" s="1"/>
  <c r="B16" i="1"/>
  <c r="F16" i="1"/>
  <c r="I16" i="1" l="1"/>
  <c r="L14" i="1"/>
  <c r="M14" i="1" s="1"/>
  <c r="N14" i="1" s="1"/>
  <c r="K16" i="1"/>
  <c r="J16" i="1"/>
  <c r="E18" i="1"/>
  <c r="G17" i="1"/>
  <c r="H17" i="1" s="1"/>
  <c r="B17" i="1"/>
  <c r="F17" i="1"/>
  <c r="I17" i="1" s="1"/>
  <c r="L15" i="1"/>
  <c r="E19" i="1" l="1"/>
  <c r="G18" i="1"/>
  <c r="H18" i="1" s="1"/>
  <c r="B18" i="1"/>
  <c r="F18" i="1"/>
  <c r="I18" i="1" s="1"/>
  <c r="L16" i="1"/>
  <c r="K17" i="1"/>
  <c r="J17" i="1"/>
  <c r="M15" i="1"/>
  <c r="N15" i="1" s="1"/>
  <c r="M16" i="1" s="1"/>
  <c r="N16" i="1" s="1"/>
  <c r="K18" i="1" l="1"/>
  <c r="J18" i="1"/>
  <c r="L17" i="1"/>
  <c r="M17" i="1" s="1"/>
  <c r="N17" i="1" s="1"/>
  <c r="E20" i="1"/>
  <c r="G19" i="1"/>
  <c r="H19" i="1" s="1"/>
  <c r="B19" i="1"/>
  <c r="F19" i="1"/>
  <c r="I19" i="1" s="1"/>
  <c r="E21" i="1" l="1"/>
  <c r="G20" i="1"/>
  <c r="H20" i="1" s="1"/>
  <c r="B20" i="1"/>
  <c r="F20" i="1"/>
  <c r="I20" i="1" s="1"/>
  <c r="K19" i="1"/>
  <c r="J19" i="1"/>
  <c r="L18" i="1"/>
  <c r="M18" i="1" s="1"/>
  <c r="N18" i="1" s="1"/>
  <c r="K20" i="1" l="1"/>
  <c r="J20" i="1"/>
  <c r="L19" i="1"/>
  <c r="M19" i="1" s="1"/>
  <c r="N19" i="1" s="1"/>
  <c r="G21" i="1"/>
  <c r="H21" i="1" s="1"/>
  <c r="B21" i="1"/>
  <c r="F21" i="1"/>
  <c r="E22" i="1"/>
  <c r="I21" i="1" l="1"/>
  <c r="G22" i="1"/>
  <c r="H22" i="1" s="1"/>
  <c r="F22" i="1"/>
  <c r="I22" i="1" s="1"/>
  <c r="E23" i="1"/>
  <c r="B22" i="1"/>
  <c r="L20" i="1"/>
  <c r="M20" i="1"/>
  <c r="N20" i="1" s="1"/>
  <c r="G23" i="1" l="1"/>
  <c r="H23" i="1" s="1"/>
  <c r="F23" i="1"/>
  <c r="I23" i="1" s="1"/>
  <c r="B23" i="1"/>
  <c r="E24" i="1"/>
  <c r="K22" i="1"/>
  <c r="J22" i="1"/>
  <c r="K21" i="1"/>
  <c r="J21" i="1"/>
  <c r="L21" i="1" l="1"/>
  <c r="M21" i="1" s="1"/>
  <c r="N21" i="1" s="1"/>
  <c r="L22" i="1"/>
  <c r="M22" i="1" s="1"/>
  <c r="N22" i="1" s="1"/>
  <c r="K23" i="1"/>
  <c r="J23" i="1"/>
  <c r="E25" i="1"/>
  <c r="G24" i="1"/>
  <c r="H24" i="1" s="1"/>
  <c r="F24" i="1"/>
  <c r="I24" i="1" s="1"/>
  <c r="B24" i="1"/>
  <c r="E26" i="1" l="1"/>
  <c r="G25" i="1"/>
  <c r="H25" i="1" s="1"/>
  <c r="F25" i="1"/>
  <c r="I25" i="1" s="1"/>
  <c r="B25" i="1"/>
  <c r="K24" i="1"/>
  <c r="J24" i="1"/>
  <c r="L23" i="1"/>
  <c r="M23" i="1" s="1"/>
  <c r="N23" i="1" s="1"/>
  <c r="K25" i="1" l="1"/>
  <c r="J25" i="1"/>
  <c r="L24" i="1"/>
  <c r="M24" i="1" s="1"/>
  <c r="N24" i="1" s="1"/>
  <c r="F26" i="1"/>
  <c r="E27" i="1"/>
  <c r="G26" i="1"/>
  <c r="H26" i="1" s="1"/>
  <c r="B26" i="1"/>
  <c r="I26" i="1" l="1"/>
  <c r="J26" i="1"/>
  <c r="K26" i="1"/>
  <c r="L26" i="1" s="1"/>
  <c r="G27" i="1"/>
  <c r="H27" i="1" s="1"/>
  <c r="F27" i="1"/>
  <c r="B27" i="1"/>
  <c r="E28" i="1"/>
  <c r="L25" i="1"/>
  <c r="M25" i="1" s="1"/>
  <c r="N25" i="1" s="1"/>
  <c r="M26" i="1" s="1"/>
  <c r="N26" i="1" s="1"/>
  <c r="I27" i="1" l="1"/>
  <c r="K27" i="1"/>
  <c r="J27" i="1"/>
  <c r="E29" i="1"/>
  <c r="G28" i="1"/>
  <c r="H28" i="1" s="1"/>
  <c r="F28" i="1"/>
  <c r="B28" i="1"/>
  <c r="E30" i="1" l="1"/>
  <c r="G29" i="1"/>
  <c r="H29" i="1" s="1"/>
  <c r="F29" i="1"/>
  <c r="I29" i="1" s="1"/>
  <c r="B29" i="1"/>
  <c r="I28" i="1"/>
  <c r="L27" i="1"/>
  <c r="M27" i="1" s="1"/>
  <c r="N27" i="1" s="1"/>
  <c r="K29" i="1" l="1"/>
  <c r="J29" i="1"/>
  <c r="K28" i="1"/>
  <c r="J28" i="1"/>
  <c r="F30" i="1"/>
  <c r="E31" i="1"/>
  <c r="G30" i="1"/>
  <c r="H30" i="1" s="1"/>
  <c r="B30" i="1"/>
  <c r="L28" i="1" l="1"/>
  <c r="M28" i="1" s="1"/>
  <c r="N28" i="1" s="1"/>
  <c r="I30" i="1"/>
  <c r="F31" i="1"/>
  <c r="I31" i="1" s="1"/>
  <c r="E32" i="1"/>
  <c r="G31" i="1"/>
  <c r="H31" i="1" s="1"/>
  <c r="B31" i="1"/>
  <c r="L29" i="1"/>
  <c r="M29" i="1" s="1"/>
  <c r="N29" i="1" s="1"/>
  <c r="J31" i="1" l="1"/>
  <c r="K31" i="1"/>
  <c r="L31" i="1" s="1"/>
  <c r="J30" i="1"/>
  <c r="K30" i="1"/>
  <c r="F32" i="1"/>
  <c r="E33" i="1"/>
  <c r="G32" i="1"/>
  <c r="H32" i="1" s="1"/>
  <c r="B32" i="1"/>
  <c r="G33" i="1" l="1"/>
  <c r="H33" i="1" s="1"/>
  <c r="F33" i="1"/>
  <c r="I33" i="1" s="1"/>
  <c r="E34" i="1"/>
  <c r="B33" i="1"/>
  <c r="I32" i="1"/>
  <c r="L30" i="1"/>
  <c r="M30" i="1" s="1"/>
  <c r="N30" i="1" s="1"/>
  <c r="M31" i="1" s="1"/>
  <c r="N31" i="1" s="1"/>
  <c r="E35" i="1" l="1"/>
  <c r="G34" i="1"/>
  <c r="H34" i="1" s="1"/>
  <c r="F34" i="1"/>
  <c r="I34" i="1" s="1"/>
  <c r="B34" i="1"/>
  <c r="K33" i="1"/>
  <c r="J33" i="1"/>
  <c r="J32" i="1"/>
  <c r="K32" i="1"/>
  <c r="L32" i="1" s="1"/>
  <c r="M32" i="1" s="1"/>
  <c r="N32" i="1" s="1"/>
  <c r="L33" i="1" l="1"/>
  <c r="M33" i="1" s="1"/>
  <c r="N33" i="1" s="1"/>
  <c r="K34" i="1"/>
  <c r="J34" i="1"/>
  <c r="E36" i="1"/>
  <c r="G35" i="1"/>
  <c r="H35" i="1" s="1"/>
  <c r="F35" i="1"/>
  <c r="I35" i="1" s="1"/>
  <c r="B35" i="1"/>
  <c r="L34" i="1" l="1"/>
  <c r="M34" i="1" s="1"/>
  <c r="N34" i="1" s="1"/>
  <c r="F36" i="1"/>
  <c r="E37" i="1"/>
  <c r="G36" i="1"/>
  <c r="H36" i="1" s="1"/>
  <c r="B36" i="1"/>
  <c r="K35" i="1"/>
  <c r="J35" i="1"/>
  <c r="G37" i="1" l="1"/>
  <c r="H37" i="1" s="1"/>
  <c r="F37" i="1"/>
  <c r="E38" i="1"/>
  <c r="B37" i="1"/>
  <c r="I36" i="1"/>
  <c r="L35" i="1"/>
  <c r="M35" i="1"/>
  <c r="N35" i="1" s="1"/>
  <c r="E39" i="1" l="1"/>
  <c r="G38" i="1"/>
  <c r="H38" i="1" s="1"/>
  <c r="F38" i="1"/>
  <c r="I38" i="1" s="1"/>
  <c r="B38" i="1"/>
  <c r="J36" i="1"/>
  <c r="K36" i="1"/>
  <c r="I37" i="1"/>
  <c r="K38" i="1" l="1"/>
  <c r="J38" i="1"/>
  <c r="K37" i="1"/>
  <c r="J37" i="1"/>
  <c r="L36" i="1"/>
  <c r="M36" i="1" s="1"/>
  <c r="N36" i="1" s="1"/>
  <c r="G39" i="1"/>
  <c r="H39" i="1" s="1"/>
  <c r="E40" i="1"/>
  <c r="B39" i="1"/>
  <c r="F39" i="1"/>
  <c r="I39" i="1" l="1"/>
  <c r="L38" i="1"/>
  <c r="G40" i="1"/>
  <c r="H40" i="1" s="1"/>
  <c r="E41" i="1"/>
  <c r="B40" i="1"/>
  <c r="F40" i="1"/>
  <c r="L37" i="1"/>
  <c r="M37" i="1" s="1"/>
  <c r="N37" i="1" s="1"/>
  <c r="M38" i="1" s="1"/>
  <c r="N38" i="1" s="1"/>
  <c r="I40" i="1" l="1"/>
  <c r="G41" i="1"/>
  <c r="H41" i="1" s="1"/>
  <c r="F41" i="1"/>
  <c r="I41" i="1" s="1"/>
  <c r="E42" i="1"/>
  <c r="B41" i="1"/>
  <c r="K39" i="1"/>
  <c r="J39" i="1"/>
  <c r="E43" i="1" l="1"/>
  <c r="F42" i="1"/>
  <c r="G42" i="1"/>
  <c r="H42" i="1" s="1"/>
  <c r="B42" i="1"/>
  <c r="K41" i="1"/>
  <c r="J41" i="1"/>
  <c r="L39" i="1"/>
  <c r="M39" i="1" s="1"/>
  <c r="N39" i="1" s="1"/>
  <c r="K40" i="1"/>
  <c r="J40" i="1"/>
  <c r="L41" i="1" l="1"/>
  <c r="E44" i="1"/>
  <c r="G43" i="1"/>
  <c r="H43" i="1" s="1"/>
  <c r="F43" i="1"/>
  <c r="B43" i="1"/>
  <c r="L40" i="1"/>
  <c r="M40" i="1" s="1"/>
  <c r="N40" i="1" s="1"/>
  <c r="M41" i="1" s="1"/>
  <c r="N41" i="1" s="1"/>
  <c r="I42" i="1"/>
  <c r="J42" i="1" l="1"/>
  <c r="K42" i="1"/>
  <c r="L42" i="1" s="1"/>
  <c r="M42" i="1" s="1"/>
  <c r="N42" i="1" s="1"/>
  <c r="I43" i="1"/>
  <c r="F44" i="1"/>
  <c r="E45" i="1"/>
  <c r="G44" i="1"/>
  <c r="H44" i="1" s="1"/>
  <c r="B44" i="1"/>
  <c r="I44" i="1" l="1"/>
  <c r="J44" i="1"/>
  <c r="K44" i="1"/>
  <c r="L44" i="1" s="1"/>
  <c r="K43" i="1"/>
  <c r="J43" i="1"/>
  <c r="G45" i="1"/>
  <c r="H45" i="1" s="1"/>
  <c r="F45" i="1"/>
  <c r="I45" i="1" s="1"/>
  <c r="B45" i="1"/>
  <c r="E46" i="1"/>
  <c r="L43" i="1" l="1"/>
  <c r="M43" i="1" s="1"/>
  <c r="N43" i="1" s="1"/>
  <c r="M44" i="1" s="1"/>
  <c r="N44" i="1" s="1"/>
  <c r="G46" i="1"/>
  <c r="H46" i="1" s="1"/>
  <c r="F46" i="1"/>
  <c r="I46" i="1" s="1"/>
  <c r="B46" i="1"/>
  <c r="E47" i="1"/>
  <c r="K45" i="1"/>
  <c r="J45" i="1"/>
  <c r="K46" i="1" l="1"/>
  <c r="J46" i="1"/>
  <c r="G47" i="1"/>
  <c r="H47" i="1" s="1"/>
  <c r="F47" i="1"/>
  <c r="B47" i="1"/>
  <c r="E48" i="1"/>
  <c r="L45" i="1"/>
  <c r="M45" i="1" s="1"/>
  <c r="N45" i="1" s="1"/>
  <c r="I47" i="1" l="1"/>
  <c r="M46" i="1"/>
  <c r="N46" i="1" s="1"/>
  <c r="E49" i="1"/>
  <c r="G48" i="1"/>
  <c r="H48" i="1" s="1"/>
  <c r="F48" i="1"/>
  <c r="B48" i="1"/>
  <c r="K47" i="1"/>
  <c r="J47" i="1"/>
  <c r="L46" i="1"/>
  <c r="I48" i="1" l="1"/>
  <c r="K48" i="1"/>
  <c r="J48" i="1"/>
  <c r="L47" i="1"/>
  <c r="M47" i="1" s="1"/>
  <c r="N47" i="1" s="1"/>
  <c r="E50" i="1"/>
  <c r="G49" i="1"/>
  <c r="H49" i="1" s="1"/>
  <c r="F49" i="1"/>
  <c r="B49" i="1"/>
  <c r="I49" i="1" l="1"/>
  <c r="M48" i="1"/>
  <c r="N48" i="1" s="1"/>
  <c r="K49" i="1"/>
  <c r="J49" i="1"/>
  <c r="F50" i="1"/>
  <c r="E51" i="1"/>
  <c r="G50" i="1"/>
  <c r="H50" i="1" s="1"/>
  <c r="B50" i="1"/>
  <c r="L48" i="1"/>
  <c r="I50" i="1" l="1"/>
  <c r="G51" i="1"/>
  <c r="H51" i="1" s="1"/>
  <c r="F51" i="1"/>
  <c r="B51" i="1"/>
  <c r="E52" i="1"/>
  <c r="J50" i="1"/>
  <c r="K50" i="1"/>
  <c r="L49" i="1"/>
  <c r="M49" i="1" s="1"/>
  <c r="N49" i="1" s="1"/>
  <c r="G52" i="1" l="1"/>
  <c r="H52" i="1" s="1"/>
  <c r="F52" i="1"/>
  <c r="I52" i="1" s="1"/>
  <c r="B52" i="1"/>
  <c r="E53" i="1"/>
  <c r="L50" i="1"/>
  <c r="M50" i="1" s="1"/>
  <c r="N50" i="1" s="1"/>
  <c r="I51" i="1"/>
  <c r="K52" i="1" l="1"/>
  <c r="J52" i="1"/>
  <c r="G53" i="1"/>
  <c r="H53" i="1" s="1"/>
  <c r="F53" i="1"/>
  <c r="I53" i="1" s="1"/>
  <c r="B53" i="1"/>
  <c r="E54" i="1"/>
  <c r="K51" i="1"/>
  <c r="J51" i="1"/>
  <c r="L51" i="1" l="1"/>
  <c r="M51" i="1" s="1"/>
  <c r="N51" i="1" s="1"/>
  <c r="E55" i="1"/>
  <c r="G54" i="1"/>
  <c r="H54" i="1" s="1"/>
  <c r="F54" i="1"/>
  <c r="I54" i="1" s="1"/>
  <c r="B54" i="1"/>
  <c r="K53" i="1"/>
  <c r="J53" i="1"/>
  <c r="L52" i="1"/>
  <c r="M52" i="1" l="1"/>
  <c r="N52" i="1" s="1"/>
  <c r="K54" i="1"/>
  <c r="J54" i="1"/>
  <c r="L53" i="1"/>
  <c r="M53" i="1" s="1"/>
  <c r="N53" i="1" s="1"/>
  <c r="E56" i="1"/>
  <c r="G55" i="1"/>
  <c r="H55" i="1" s="1"/>
  <c r="F55" i="1"/>
  <c r="I55" i="1" s="1"/>
  <c r="B55" i="1"/>
  <c r="L54" i="1" l="1"/>
  <c r="M54" i="1" s="1"/>
  <c r="N54" i="1" s="1"/>
  <c r="E57" i="1"/>
  <c r="F56" i="1"/>
  <c r="G56" i="1"/>
  <c r="H56" i="1" s="1"/>
  <c r="B56" i="1"/>
  <c r="K55" i="1"/>
  <c r="J55" i="1"/>
  <c r="I56" i="1" l="1"/>
  <c r="L55" i="1"/>
  <c r="M55" i="1" s="1"/>
  <c r="N55" i="1" s="1"/>
  <c r="E58" i="1"/>
  <c r="G57" i="1"/>
  <c r="H57" i="1" s="1"/>
  <c r="F57" i="1"/>
  <c r="B57" i="1"/>
  <c r="I57" i="1" l="1"/>
  <c r="J56" i="1"/>
  <c r="K56" i="1"/>
  <c r="E59" i="1"/>
  <c r="G58" i="1"/>
  <c r="H58" i="1" s="1"/>
  <c r="B58" i="1"/>
  <c r="F58" i="1"/>
  <c r="K57" i="1"/>
  <c r="J57" i="1"/>
  <c r="L57" i="1" l="1"/>
  <c r="F59" i="1"/>
  <c r="E60" i="1"/>
  <c r="G59" i="1"/>
  <c r="H59" i="1" s="1"/>
  <c r="B59" i="1"/>
  <c r="I58" i="1"/>
  <c r="L56" i="1"/>
  <c r="M56" i="1" s="1"/>
  <c r="N56" i="1" s="1"/>
  <c r="M57" i="1" l="1"/>
  <c r="N57" i="1" s="1"/>
  <c r="G60" i="1"/>
  <c r="H60" i="1" s="1"/>
  <c r="F60" i="1"/>
  <c r="B60" i="1"/>
  <c r="E61" i="1"/>
  <c r="K58" i="1"/>
  <c r="J58" i="1"/>
  <c r="I59" i="1"/>
  <c r="L58" i="1" l="1"/>
  <c r="M58" i="1"/>
  <c r="N58" i="1" s="1"/>
  <c r="E62" i="1"/>
  <c r="G61" i="1"/>
  <c r="H61" i="1" s="1"/>
  <c r="F61" i="1"/>
  <c r="B61" i="1"/>
  <c r="J59" i="1"/>
  <c r="K59" i="1"/>
  <c r="L59" i="1" s="1"/>
  <c r="M59" i="1" s="1"/>
  <c r="N59" i="1" s="1"/>
  <c r="I60" i="1"/>
  <c r="K60" i="1" l="1"/>
  <c r="J60" i="1"/>
  <c r="I61" i="1"/>
  <c r="G62" i="1"/>
  <c r="H62" i="1" s="1"/>
  <c r="B62" i="1"/>
  <c r="F62" i="1"/>
  <c r="L60" i="1" l="1"/>
  <c r="M60" i="1" s="1"/>
  <c r="N60" i="1" s="1"/>
  <c r="K61" i="1"/>
  <c r="J61" i="1"/>
  <c r="I62" i="1"/>
  <c r="L61" i="1" l="1"/>
  <c r="M61" i="1" s="1"/>
  <c r="N61" i="1" s="1"/>
  <c r="K62" i="1"/>
  <c r="J62" i="1"/>
  <c r="I63" i="1"/>
  <c r="L62" i="1" l="1"/>
  <c r="M62" i="1" s="1"/>
  <c r="N62" i="1" s="1"/>
</calcChain>
</file>

<file path=xl/sharedStrings.xml><?xml version="1.0" encoding="utf-8"?>
<sst xmlns="http://schemas.openxmlformats.org/spreadsheetml/2006/main" count="44" uniqueCount="42">
  <si>
    <t>MONTH</t>
  </si>
  <si>
    <t>INVEST AMOUNT</t>
  </si>
  <si>
    <t xml:space="preserve">MAIN ID </t>
  </si>
  <si>
    <t>SUB ID'S AMOUNT</t>
  </si>
  <si>
    <t>SUB ID'S ROI 9%</t>
  </si>
  <si>
    <t>AFFILIATED TOTAL</t>
  </si>
  <si>
    <t>AFF ROI 9%</t>
  </si>
  <si>
    <t>TOTAL ROI</t>
  </si>
  <si>
    <t>50% USDX</t>
  </si>
  <si>
    <t>TTL ROI</t>
  </si>
  <si>
    <t>G.TTL ROI</t>
  </si>
  <si>
    <t>RE-STAKE BAL</t>
  </si>
  <si>
    <t>NEW ID'S</t>
  </si>
  <si>
    <t>NO OF ID'S</t>
  </si>
  <si>
    <t>WITHDRAW LIMIT</t>
  </si>
  <si>
    <t>SPOT INCOME</t>
  </si>
  <si>
    <t>REMARK</t>
  </si>
  <si>
    <t>10,11</t>
  </si>
  <si>
    <t>13,14</t>
  </si>
  <si>
    <t>15,16</t>
  </si>
  <si>
    <t>18,19</t>
  </si>
  <si>
    <t>20,21,22</t>
  </si>
  <si>
    <t>23,24,25</t>
  </si>
  <si>
    <t>27 TO 30</t>
  </si>
  <si>
    <t>31 TO 34</t>
  </si>
  <si>
    <t>35 TO 38</t>
  </si>
  <si>
    <t>39 TO 42</t>
  </si>
  <si>
    <t>43,44,45</t>
  </si>
  <si>
    <t>TTL</t>
  </si>
  <si>
    <t>NOTE :</t>
  </si>
  <si>
    <t>1) INVESTMENT AMOUNT RS 53,000 ONLY</t>
  </si>
  <si>
    <t xml:space="preserve">PREPARED BY </t>
  </si>
  <si>
    <t>2) NOT REQUIRED ANY MORE AMOUNT TO INVEST</t>
  </si>
  <si>
    <t>3) DON’T TAKE ANY AMOUNT IN BETWEEN PROGRESS</t>
  </si>
  <si>
    <t>5) CALCULATION TAKEN ONLY PLACED DIRECT ID'S, IF YOU PUT 2ND LEVEL AND MORE, RETURN AMOUNT WILL INCREASE</t>
  </si>
  <si>
    <t>6) AFTER 5 YEAR'S YOU WILL GET MINIMUM RS 2,80,000 PER MONTH, UP TO NEXT 22 MONTH</t>
  </si>
  <si>
    <t>MAIN ID ROI 9%    30 days</t>
  </si>
  <si>
    <t xml:space="preserve"> T. ARULSABARISH </t>
  </si>
  <si>
    <t>4) CALCULATION TAKEN TO SELL USDX COIN AT 0.70 DOLLER PRICE. IF MORE, THEN A PRICE RETURN AMOUNT WILL INCREASE</t>
  </si>
  <si>
    <t>7) FINANCIAL DESCIPLINE IS VERY IMPORTANT TO CREAT A BIG ASSET</t>
  </si>
  <si>
    <t>50% DAI  &amp;      0.7 $</t>
  </si>
  <si>
    <t>USDX SMART COMPOUNDING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</si>
</sst>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5AA0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0" fontId="0" fillId="3" borderId="0" xfId="0" applyFill="1" applyBorder="1"/>
    <xf numFmtId="1" fontId="2" fillId="4" borderId="5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3" borderId="0" xfId="0" applyFont="1" applyFill="1" applyBorder="1"/>
    <xf numFmtId="1" fontId="2" fillId="5" borderId="4" xfId="0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1" fontId="2" fillId="6" borderId="4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1" fontId="2" fillId="6" borderId="6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/>
    </xf>
    <xf numFmtId="1" fontId="2" fillId="7" borderId="5" xfId="0" applyNumberFormat="1" applyFont="1" applyFill="1" applyBorder="1" applyAlignment="1">
      <alignment horizontal="center" vertical="center"/>
    </xf>
    <xf numFmtId="2" fontId="2" fillId="7" borderId="4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center" vertical="center"/>
    </xf>
    <xf numFmtId="2" fontId="2" fillId="8" borderId="4" xfId="0" applyNumberFormat="1" applyFont="1" applyFill="1" applyBorder="1" applyAlignment="1">
      <alignment horizontal="center" vertical="center"/>
    </xf>
    <xf numFmtId="1" fontId="2" fillId="8" borderId="6" xfId="0" applyNumberFormat="1" applyFont="1" applyFill="1" applyBorder="1" applyAlignment="1">
      <alignment horizontal="center" vertical="center"/>
    </xf>
    <xf numFmtId="1" fontId="2" fillId="9" borderId="4" xfId="0" applyNumberFormat="1" applyFont="1" applyFill="1" applyBorder="1" applyAlignment="1">
      <alignment horizontal="center" vertical="center"/>
    </xf>
    <xf numFmtId="1" fontId="2" fillId="9" borderId="5" xfId="0" applyNumberFormat="1" applyFont="1" applyFill="1" applyBorder="1" applyAlignment="1">
      <alignment horizontal="center" vertical="center"/>
    </xf>
    <xf numFmtId="2" fontId="2" fillId="9" borderId="4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1" fontId="2" fillId="10" borderId="9" xfId="0" applyNumberFormat="1" applyFont="1" applyFill="1" applyBorder="1" applyAlignment="1">
      <alignment horizontal="center" vertical="center"/>
    </xf>
    <xf numFmtId="1" fontId="2" fillId="10" borderId="6" xfId="0" applyNumberFormat="1" applyFont="1" applyFill="1" applyBorder="1" applyAlignment="1">
      <alignment horizontal="center" vertical="center"/>
    </xf>
    <xf numFmtId="1" fontId="2" fillId="10" borderId="5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" fontId="2" fillId="5" borderId="14" xfId="0" applyNumberFormat="1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1" fontId="2" fillId="7" borderId="14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1" fontId="2" fillId="8" borderId="14" xfId="0" applyNumberFormat="1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1" fontId="0" fillId="5" borderId="15" xfId="0" applyNumberFormat="1" applyFill="1" applyBorder="1"/>
    <xf numFmtId="0" fontId="2" fillId="9" borderId="13" xfId="0" applyFont="1" applyFill="1" applyBorder="1" applyAlignment="1">
      <alignment horizontal="center" vertical="center"/>
    </xf>
    <xf numFmtId="1" fontId="2" fillId="9" borderId="14" xfId="0" applyNumberFormat="1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6" xfId="0" applyBorder="1"/>
    <xf numFmtId="0" fontId="0" fillId="0" borderId="0" xfId="0" applyBorder="1"/>
    <xf numFmtId="1" fontId="0" fillId="3" borderId="0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1" fontId="3" fillId="2" borderId="2" xfId="0" applyNumberFormat="1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/>
    </xf>
    <xf numFmtId="2" fontId="3" fillId="2" borderId="2" xfId="0" applyNumberFormat="1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15" xfId="0" applyFont="1" applyBorder="1"/>
    <xf numFmtId="0" fontId="5" fillId="0" borderId="0" xfId="0" applyFont="1"/>
    <xf numFmtId="0" fontId="6" fillId="0" borderId="0" xfId="0" applyFont="1" applyBorder="1"/>
    <xf numFmtId="0" fontId="6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2" fontId="2" fillId="10" borderId="7" xfId="0" applyNumberFormat="1" applyFont="1" applyFill="1" applyBorder="1" applyAlignment="1">
      <alignment horizontal="center" vertical="center"/>
    </xf>
    <xf numFmtId="2" fontId="2" fillId="10" borderId="8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/>
    </xf>
    <xf numFmtId="0" fontId="8" fillId="0" borderId="0" xfId="0" applyFont="1" applyBorder="1"/>
    <xf numFmtId="0" fontId="9" fillId="0" borderId="0" xfId="0" applyFont="1" applyBorder="1"/>
    <xf numFmtId="2" fontId="9" fillId="0" borderId="0" xfId="0" applyNumberFormat="1" applyFont="1" applyBorder="1"/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0" xfId="0" applyFont="1" applyBorder="1"/>
    <xf numFmtId="0" fontId="7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18" xfId="0" applyFont="1" applyBorder="1"/>
    <xf numFmtId="0" fontId="9" fillId="0" borderId="18" xfId="0" applyFont="1" applyBorder="1"/>
    <xf numFmtId="0" fontId="5" fillId="0" borderId="18" xfId="0" applyFont="1" applyBorder="1"/>
    <xf numFmtId="0" fontId="5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5AA0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1"/>
  <sheetViews>
    <sheetView tabSelected="1" zoomScale="85" zoomScaleNormal="85" workbookViewId="0">
      <pane ySplit="2" topLeftCell="A3" activePane="bottomLeft" state="frozen"/>
      <selection pane="bottomLeft" sqref="A1:T72"/>
    </sheetView>
  </sheetViews>
  <sheetFormatPr defaultRowHeight="15" x14ac:dyDescent="0.25"/>
  <cols>
    <col min="1" max="1" width="6.7109375" customWidth="1"/>
    <col min="2" max="2" width="9.85546875" customWidth="1"/>
    <col min="3" max="4" width="8.5703125" customWidth="1"/>
    <col min="5" max="5" width="8.140625" customWidth="1"/>
    <col min="6" max="6" width="6.7109375" customWidth="1"/>
    <col min="7" max="7" width="6.85546875" customWidth="1"/>
    <col min="8" max="8" width="8.28515625" style="24" customWidth="1"/>
    <col min="9" max="9" width="8.42578125" customWidth="1"/>
    <col min="10" max="10" width="7.42578125" customWidth="1"/>
    <col min="11" max="11" width="8.140625" customWidth="1"/>
    <col min="12" max="12" width="6.28515625" style="22" customWidth="1"/>
    <col min="13" max="13" width="7.5703125" style="22" customWidth="1"/>
    <col min="14" max="14" width="8.42578125" style="23" customWidth="1"/>
    <col min="15" max="15" width="7.140625" style="22" customWidth="1"/>
    <col min="16" max="16" width="8" style="22" customWidth="1"/>
    <col min="17" max="17" width="11" customWidth="1"/>
    <col min="18" max="18" width="8.28515625" style="22" customWidth="1"/>
    <col min="19" max="19" width="6.28515625" customWidth="1"/>
    <col min="20" max="20" width="8.42578125" customWidth="1"/>
  </cols>
  <sheetData>
    <row r="1" spans="1:28" ht="32.25" customHeight="1" thickBot="1" x14ac:dyDescent="0.3">
      <c r="A1" s="99" t="s">
        <v>41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</row>
    <row r="2" spans="1:28" s="3" customFormat="1" ht="78.75" customHeight="1" thickBot="1" x14ac:dyDescent="0.3">
      <c r="A2" s="75" t="s">
        <v>0</v>
      </c>
      <c r="B2" s="77" t="s">
        <v>1</v>
      </c>
      <c r="C2" s="74" t="s">
        <v>2</v>
      </c>
      <c r="D2" s="74" t="s">
        <v>36</v>
      </c>
      <c r="E2" s="77" t="s">
        <v>3</v>
      </c>
      <c r="F2" s="77" t="s">
        <v>4</v>
      </c>
      <c r="G2" s="74" t="s">
        <v>5</v>
      </c>
      <c r="H2" s="76" t="s">
        <v>6</v>
      </c>
      <c r="I2" s="74" t="s">
        <v>7</v>
      </c>
      <c r="J2" s="77" t="s">
        <v>8</v>
      </c>
      <c r="K2" s="77" t="s">
        <v>40</v>
      </c>
      <c r="L2" s="77" t="s">
        <v>9</v>
      </c>
      <c r="M2" s="77" t="s">
        <v>10</v>
      </c>
      <c r="N2" s="74" t="s">
        <v>11</v>
      </c>
      <c r="O2" s="77" t="s">
        <v>12</v>
      </c>
      <c r="P2" s="77" t="s">
        <v>13</v>
      </c>
      <c r="Q2" s="74" t="s">
        <v>14</v>
      </c>
      <c r="R2" s="77" t="s">
        <v>15</v>
      </c>
      <c r="S2" s="86" t="s">
        <v>16</v>
      </c>
      <c r="T2" s="87"/>
      <c r="U2" s="1"/>
      <c r="V2" s="2"/>
      <c r="W2" s="1"/>
      <c r="X2" s="1"/>
      <c r="Y2" s="1"/>
      <c r="Z2" s="1"/>
      <c r="AA2" s="1"/>
      <c r="AB2" s="1"/>
    </row>
    <row r="3" spans="1:28" x14ac:dyDescent="0.25">
      <c r="A3" s="44">
        <v>1</v>
      </c>
      <c r="B3" s="4">
        <v>500</v>
      </c>
      <c r="C3" s="4">
        <v>500</v>
      </c>
      <c r="D3" s="4">
        <f>C3*9%</f>
        <v>45</v>
      </c>
      <c r="E3" s="4">
        <v>0</v>
      </c>
      <c r="F3" s="4">
        <f>E3*9%</f>
        <v>0</v>
      </c>
      <c r="G3" s="4">
        <f>E3*10%</f>
        <v>0</v>
      </c>
      <c r="H3" s="5">
        <f>G3*9%</f>
        <v>0</v>
      </c>
      <c r="I3" s="4">
        <f>D3+F3+H3</f>
        <v>45</v>
      </c>
      <c r="J3" s="4">
        <f>+I3*41.25%</f>
        <v>18.5625</v>
      </c>
      <c r="K3" s="4">
        <f>+(I3*29.375%)*2</f>
        <v>26.4375</v>
      </c>
      <c r="L3" s="4">
        <f>+(K3*0.7)+J3</f>
        <v>37.068749999999994</v>
      </c>
      <c r="M3" s="4">
        <v>37</v>
      </c>
      <c r="N3" s="4">
        <f t="shared" ref="N3:N62" si="0">+M3-O3</f>
        <v>37</v>
      </c>
      <c r="O3" s="4">
        <v>0</v>
      </c>
      <c r="P3" s="4">
        <v>0</v>
      </c>
      <c r="Q3" s="4">
        <v>1000</v>
      </c>
      <c r="R3" s="4">
        <v>0</v>
      </c>
      <c r="S3" s="4"/>
      <c r="T3" s="45"/>
      <c r="U3" s="6"/>
      <c r="V3" s="1"/>
      <c r="W3" s="7"/>
      <c r="X3" s="7"/>
      <c r="Y3" s="7"/>
      <c r="Z3" s="7"/>
      <c r="AA3" s="7"/>
      <c r="AB3" s="7"/>
    </row>
    <row r="4" spans="1:28" x14ac:dyDescent="0.25">
      <c r="A4" s="46">
        <v>2</v>
      </c>
      <c r="B4" s="4">
        <f t="shared" ref="B4:B62" si="1">C4+E4</f>
        <v>500</v>
      </c>
      <c r="C4" s="4">
        <v>500</v>
      </c>
      <c r="D4" s="4">
        <f>C4*9%</f>
        <v>45</v>
      </c>
      <c r="E4" s="8">
        <f>E3+O3</f>
        <v>0</v>
      </c>
      <c r="F4" s="4">
        <f t="shared" ref="F4:F62" si="2">E4*9%</f>
        <v>0</v>
      </c>
      <c r="G4" s="4">
        <f t="shared" ref="G4:G62" si="3">E4*10%</f>
        <v>0</v>
      </c>
      <c r="H4" s="5">
        <f t="shared" ref="H4:H62" si="4">G4*9%</f>
        <v>0</v>
      </c>
      <c r="I4" s="4">
        <f t="shared" ref="I4:I62" si="5">D4+F4+H4</f>
        <v>45</v>
      </c>
      <c r="J4" s="4">
        <f t="shared" ref="J4:J62" si="6">+I4*41.25%</f>
        <v>18.5625</v>
      </c>
      <c r="K4" s="4">
        <f t="shared" ref="K4:K62" si="7">+(I4*29.375%)*2</f>
        <v>26.4375</v>
      </c>
      <c r="L4" s="4">
        <f t="shared" ref="L4:L63" si="8">+(K4*0.7)+J4</f>
        <v>37.068749999999994</v>
      </c>
      <c r="M4" s="4">
        <f>+N3+L4</f>
        <v>74.068749999999994</v>
      </c>
      <c r="N4" s="4">
        <f t="shared" si="0"/>
        <v>74.068749999999994</v>
      </c>
      <c r="O4" s="8">
        <v>0</v>
      </c>
      <c r="P4" s="8">
        <v>0</v>
      </c>
      <c r="Q4" s="4">
        <f>Q3-D3-R4</f>
        <v>955</v>
      </c>
      <c r="R4" s="8">
        <f>O4*20%</f>
        <v>0</v>
      </c>
      <c r="S4" s="8"/>
      <c r="T4" s="47"/>
      <c r="U4" s="1"/>
      <c r="V4" s="1"/>
      <c r="W4" s="1"/>
      <c r="X4" s="1"/>
      <c r="Y4" s="1"/>
      <c r="Z4" s="7"/>
      <c r="AA4" s="7"/>
      <c r="AB4" s="7"/>
    </row>
    <row r="5" spans="1:28" x14ac:dyDescent="0.25">
      <c r="A5" s="46">
        <v>3</v>
      </c>
      <c r="B5" s="4">
        <f t="shared" si="1"/>
        <v>500</v>
      </c>
      <c r="C5" s="4">
        <v>500</v>
      </c>
      <c r="D5" s="4">
        <f>C5*9%</f>
        <v>45</v>
      </c>
      <c r="E5" s="8">
        <f>E4+O4</f>
        <v>0</v>
      </c>
      <c r="F5" s="4">
        <f t="shared" si="2"/>
        <v>0</v>
      </c>
      <c r="G5" s="4">
        <f t="shared" si="3"/>
        <v>0</v>
      </c>
      <c r="H5" s="5">
        <f t="shared" si="4"/>
        <v>0</v>
      </c>
      <c r="I5" s="4">
        <f t="shared" si="5"/>
        <v>45</v>
      </c>
      <c r="J5" s="4">
        <f t="shared" si="6"/>
        <v>18.5625</v>
      </c>
      <c r="K5" s="4">
        <f t="shared" si="7"/>
        <v>26.4375</v>
      </c>
      <c r="L5" s="4">
        <f t="shared" si="8"/>
        <v>37.068749999999994</v>
      </c>
      <c r="M5" s="4">
        <f t="shared" ref="M5:M62" si="9">+N4+L5</f>
        <v>111.13749999999999</v>
      </c>
      <c r="N5" s="4">
        <f t="shared" si="0"/>
        <v>111.13749999999999</v>
      </c>
      <c r="O5" s="8">
        <v>0</v>
      </c>
      <c r="P5" s="8">
        <v>0</v>
      </c>
      <c r="Q5" s="4">
        <f t="shared" ref="Q5:Q21" si="10">Q4-D4-R5</f>
        <v>910</v>
      </c>
      <c r="R5" s="8">
        <f t="shared" ref="R5:R62" si="11">O5*20%</f>
        <v>0</v>
      </c>
      <c r="S5" s="8"/>
      <c r="T5" s="47"/>
      <c r="U5" s="7"/>
      <c r="V5" s="7"/>
      <c r="W5" s="7"/>
      <c r="X5" s="7"/>
      <c r="Y5" s="7"/>
      <c r="Z5" s="7"/>
      <c r="AA5" s="7"/>
      <c r="AB5" s="7"/>
    </row>
    <row r="6" spans="1:28" ht="15.75" x14ac:dyDescent="0.25">
      <c r="A6" s="46">
        <v>4</v>
      </c>
      <c r="B6" s="4">
        <f t="shared" si="1"/>
        <v>500</v>
      </c>
      <c r="C6" s="4">
        <v>500</v>
      </c>
      <c r="D6" s="4">
        <f t="shared" ref="D6:D62" si="12">C6*9%</f>
        <v>45</v>
      </c>
      <c r="E6" s="8">
        <f t="shared" ref="E6:E62" si="13">E5+O5</f>
        <v>0</v>
      </c>
      <c r="F6" s="4">
        <f t="shared" si="2"/>
        <v>0</v>
      </c>
      <c r="G6" s="4">
        <f t="shared" si="3"/>
        <v>0</v>
      </c>
      <c r="H6" s="5">
        <f t="shared" si="4"/>
        <v>0</v>
      </c>
      <c r="I6" s="4">
        <f t="shared" si="5"/>
        <v>45</v>
      </c>
      <c r="J6" s="4">
        <f t="shared" si="6"/>
        <v>18.5625</v>
      </c>
      <c r="K6" s="4">
        <f t="shared" si="7"/>
        <v>26.4375</v>
      </c>
      <c r="L6" s="4">
        <f t="shared" si="8"/>
        <v>37.068749999999994</v>
      </c>
      <c r="M6" s="4">
        <f t="shared" si="9"/>
        <v>148.20624999999998</v>
      </c>
      <c r="N6" s="4">
        <f t="shared" si="0"/>
        <v>148.20624999999998</v>
      </c>
      <c r="O6" s="8">
        <v>0</v>
      </c>
      <c r="P6" s="8">
        <v>0</v>
      </c>
      <c r="Q6" s="4">
        <f t="shared" si="10"/>
        <v>865</v>
      </c>
      <c r="R6" s="8">
        <f t="shared" si="11"/>
        <v>0</v>
      </c>
      <c r="S6" s="8"/>
      <c r="T6" s="47"/>
      <c r="U6" s="9"/>
      <c r="V6" s="7"/>
      <c r="W6" s="7"/>
      <c r="X6" s="7"/>
      <c r="Y6" s="7"/>
      <c r="Z6" s="7"/>
      <c r="AA6" s="7"/>
      <c r="AB6" s="7"/>
    </row>
    <row r="7" spans="1:28" ht="15.75" x14ac:dyDescent="0.25">
      <c r="A7" s="44">
        <v>5</v>
      </c>
      <c r="B7" s="4">
        <f t="shared" si="1"/>
        <v>500</v>
      </c>
      <c r="C7" s="4">
        <v>500</v>
      </c>
      <c r="D7" s="4">
        <f t="shared" si="12"/>
        <v>45</v>
      </c>
      <c r="E7" s="8">
        <f t="shared" si="13"/>
        <v>0</v>
      </c>
      <c r="F7" s="4">
        <f t="shared" si="2"/>
        <v>0</v>
      </c>
      <c r="G7" s="4">
        <f t="shared" si="3"/>
        <v>0</v>
      </c>
      <c r="H7" s="5">
        <f t="shared" si="4"/>
        <v>0</v>
      </c>
      <c r="I7" s="4">
        <f t="shared" si="5"/>
        <v>45</v>
      </c>
      <c r="J7" s="4">
        <f t="shared" si="6"/>
        <v>18.5625</v>
      </c>
      <c r="K7" s="4">
        <f t="shared" si="7"/>
        <v>26.4375</v>
      </c>
      <c r="L7" s="4">
        <f t="shared" si="8"/>
        <v>37.068749999999994</v>
      </c>
      <c r="M7" s="4">
        <f t="shared" si="9"/>
        <v>185.27499999999998</v>
      </c>
      <c r="N7" s="4">
        <f t="shared" si="0"/>
        <v>185.27499999999998</v>
      </c>
      <c r="O7" s="8">
        <v>0</v>
      </c>
      <c r="P7" s="8">
        <v>0</v>
      </c>
      <c r="Q7" s="4">
        <f t="shared" si="10"/>
        <v>820</v>
      </c>
      <c r="R7" s="8">
        <f t="shared" si="11"/>
        <v>0</v>
      </c>
      <c r="S7" s="8"/>
      <c r="T7" s="47"/>
      <c r="U7" s="9"/>
      <c r="V7" s="7"/>
      <c r="W7" s="7"/>
      <c r="X7" s="7"/>
      <c r="Y7" s="7"/>
      <c r="Z7" s="7"/>
      <c r="AA7" s="7"/>
      <c r="AB7" s="7"/>
    </row>
    <row r="8" spans="1:28" ht="15.75" x14ac:dyDescent="0.25">
      <c r="A8" s="46">
        <v>6</v>
      </c>
      <c r="B8" s="4">
        <f t="shared" si="1"/>
        <v>500</v>
      </c>
      <c r="C8" s="4">
        <v>500</v>
      </c>
      <c r="D8" s="4">
        <f t="shared" si="12"/>
        <v>45</v>
      </c>
      <c r="E8" s="8">
        <f t="shared" si="13"/>
        <v>0</v>
      </c>
      <c r="F8" s="4">
        <f t="shared" si="2"/>
        <v>0</v>
      </c>
      <c r="G8" s="4">
        <f t="shared" si="3"/>
        <v>0</v>
      </c>
      <c r="H8" s="5">
        <f t="shared" si="4"/>
        <v>0</v>
      </c>
      <c r="I8" s="4">
        <f t="shared" si="5"/>
        <v>45</v>
      </c>
      <c r="J8" s="4">
        <f t="shared" si="6"/>
        <v>18.5625</v>
      </c>
      <c r="K8" s="4">
        <f t="shared" si="7"/>
        <v>26.4375</v>
      </c>
      <c r="L8" s="4">
        <f t="shared" si="8"/>
        <v>37.068749999999994</v>
      </c>
      <c r="M8" s="4">
        <f t="shared" si="9"/>
        <v>222.34374999999997</v>
      </c>
      <c r="N8" s="4">
        <f t="shared" si="0"/>
        <v>222.34374999999997</v>
      </c>
      <c r="O8" s="8">
        <v>0</v>
      </c>
      <c r="P8" s="8">
        <v>0</v>
      </c>
      <c r="Q8" s="4">
        <f t="shared" si="10"/>
        <v>775</v>
      </c>
      <c r="R8" s="8">
        <f t="shared" si="11"/>
        <v>0</v>
      </c>
      <c r="S8" s="8"/>
      <c r="T8" s="47"/>
      <c r="U8" s="9"/>
      <c r="V8" s="7"/>
      <c r="W8" s="7"/>
      <c r="X8" s="7"/>
      <c r="Y8" s="7"/>
      <c r="Z8" s="7"/>
      <c r="AA8" s="7"/>
      <c r="AB8" s="7"/>
    </row>
    <row r="9" spans="1:28" ht="15.75" x14ac:dyDescent="0.25">
      <c r="A9" s="46">
        <v>7</v>
      </c>
      <c r="B9" s="4">
        <f t="shared" si="1"/>
        <v>500</v>
      </c>
      <c r="C9" s="4">
        <v>500</v>
      </c>
      <c r="D9" s="4">
        <f t="shared" si="12"/>
        <v>45</v>
      </c>
      <c r="E9" s="8">
        <f t="shared" si="13"/>
        <v>0</v>
      </c>
      <c r="F9" s="4">
        <f t="shared" si="2"/>
        <v>0</v>
      </c>
      <c r="G9" s="4">
        <f t="shared" si="3"/>
        <v>0</v>
      </c>
      <c r="H9" s="5">
        <f t="shared" si="4"/>
        <v>0</v>
      </c>
      <c r="I9" s="4">
        <f t="shared" si="5"/>
        <v>45</v>
      </c>
      <c r="J9" s="4">
        <f t="shared" si="6"/>
        <v>18.5625</v>
      </c>
      <c r="K9" s="4">
        <f t="shared" si="7"/>
        <v>26.4375</v>
      </c>
      <c r="L9" s="4">
        <f t="shared" si="8"/>
        <v>37.068749999999994</v>
      </c>
      <c r="M9" s="4">
        <f t="shared" si="9"/>
        <v>259.41249999999997</v>
      </c>
      <c r="N9" s="4">
        <f t="shared" si="0"/>
        <v>259.41249999999997</v>
      </c>
      <c r="O9" s="8">
        <v>0</v>
      </c>
      <c r="P9" s="8">
        <v>0</v>
      </c>
      <c r="Q9" s="4">
        <f t="shared" si="10"/>
        <v>730</v>
      </c>
      <c r="R9" s="8">
        <f t="shared" si="11"/>
        <v>0</v>
      </c>
      <c r="S9" s="8"/>
      <c r="T9" s="47"/>
      <c r="U9" s="9"/>
      <c r="V9" s="7"/>
      <c r="W9" s="7"/>
      <c r="X9" s="7"/>
      <c r="Y9" s="7"/>
      <c r="Z9" s="7"/>
      <c r="AA9" s="7"/>
      <c r="AB9" s="7"/>
    </row>
    <row r="10" spans="1:28" ht="15.75" x14ac:dyDescent="0.25">
      <c r="A10" s="46">
        <v>8</v>
      </c>
      <c r="B10" s="4">
        <f t="shared" si="1"/>
        <v>500</v>
      </c>
      <c r="C10" s="4">
        <v>500</v>
      </c>
      <c r="D10" s="4">
        <f t="shared" si="12"/>
        <v>45</v>
      </c>
      <c r="E10" s="8">
        <f t="shared" si="13"/>
        <v>0</v>
      </c>
      <c r="F10" s="4">
        <f t="shared" si="2"/>
        <v>0</v>
      </c>
      <c r="G10" s="4">
        <f t="shared" si="3"/>
        <v>0</v>
      </c>
      <c r="H10" s="5">
        <f t="shared" si="4"/>
        <v>0</v>
      </c>
      <c r="I10" s="4">
        <f t="shared" si="5"/>
        <v>45</v>
      </c>
      <c r="J10" s="4">
        <f t="shared" si="6"/>
        <v>18.5625</v>
      </c>
      <c r="K10" s="4">
        <f t="shared" si="7"/>
        <v>26.4375</v>
      </c>
      <c r="L10" s="4">
        <f t="shared" si="8"/>
        <v>37.068749999999994</v>
      </c>
      <c r="M10" s="4">
        <f t="shared" si="9"/>
        <v>296.48124999999993</v>
      </c>
      <c r="N10" s="4">
        <f t="shared" si="0"/>
        <v>296.48124999999993</v>
      </c>
      <c r="O10" s="8">
        <v>0</v>
      </c>
      <c r="P10" s="8">
        <v>0</v>
      </c>
      <c r="Q10" s="4">
        <f t="shared" si="10"/>
        <v>685</v>
      </c>
      <c r="R10" s="8">
        <f t="shared" si="11"/>
        <v>0</v>
      </c>
      <c r="S10" s="8"/>
      <c r="T10" s="47"/>
      <c r="U10" s="9"/>
      <c r="V10" s="7"/>
      <c r="W10" s="7"/>
      <c r="X10" s="7"/>
      <c r="Y10" s="7"/>
      <c r="Z10" s="7"/>
      <c r="AA10" s="7"/>
      <c r="AB10" s="7"/>
    </row>
    <row r="11" spans="1:28" ht="15.75" x14ac:dyDescent="0.25">
      <c r="A11" s="44">
        <v>9</v>
      </c>
      <c r="B11" s="4">
        <f t="shared" si="1"/>
        <v>500</v>
      </c>
      <c r="C11" s="4">
        <v>500</v>
      </c>
      <c r="D11" s="4">
        <f t="shared" si="12"/>
        <v>45</v>
      </c>
      <c r="E11" s="8">
        <f t="shared" si="13"/>
        <v>0</v>
      </c>
      <c r="F11" s="4">
        <f t="shared" si="2"/>
        <v>0</v>
      </c>
      <c r="G11" s="4">
        <f t="shared" si="3"/>
        <v>0</v>
      </c>
      <c r="H11" s="5">
        <f t="shared" si="4"/>
        <v>0</v>
      </c>
      <c r="I11" s="4">
        <f t="shared" si="5"/>
        <v>45</v>
      </c>
      <c r="J11" s="4">
        <f t="shared" si="6"/>
        <v>18.5625</v>
      </c>
      <c r="K11" s="4">
        <f t="shared" si="7"/>
        <v>26.4375</v>
      </c>
      <c r="L11" s="4">
        <f t="shared" si="8"/>
        <v>37.068749999999994</v>
      </c>
      <c r="M11" s="4">
        <f t="shared" si="9"/>
        <v>333.54999999999995</v>
      </c>
      <c r="N11" s="4">
        <f t="shared" si="0"/>
        <v>333.54999999999995</v>
      </c>
      <c r="O11" s="8">
        <v>0</v>
      </c>
      <c r="P11" s="8">
        <v>0</v>
      </c>
      <c r="Q11" s="4">
        <f t="shared" si="10"/>
        <v>640</v>
      </c>
      <c r="R11" s="8">
        <f t="shared" si="11"/>
        <v>0</v>
      </c>
      <c r="S11" s="8"/>
      <c r="T11" s="47"/>
      <c r="U11" s="9"/>
      <c r="V11" s="7"/>
      <c r="W11" s="7"/>
      <c r="X11" s="7"/>
      <c r="Y11" s="7"/>
      <c r="Z11" s="7"/>
      <c r="AA11" s="7"/>
      <c r="AB11" s="7"/>
    </row>
    <row r="12" spans="1:28" ht="15.75" x14ac:dyDescent="0.25">
      <c r="A12" s="46">
        <v>10</v>
      </c>
      <c r="B12" s="4">
        <f t="shared" si="1"/>
        <v>500</v>
      </c>
      <c r="C12" s="4">
        <v>500</v>
      </c>
      <c r="D12" s="4">
        <f t="shared" si="12"/>
        <v>45</v>
      </c>
      <c r="E12" s="8">
        <f t="shared" si="13"/>
        <v>0</v>
      </c>
      <c r="F12" s="4">
        <f t="shared" si="2"/>
        <v>0</v>
      </c>
      <c r="G12" s="4">
        <f t="shared" si="3"/>
        <v>0</v>
      </c>
      <c r="H12" s="5">
        <f t="shared" si="4"/>
        <v>0</v>
      </c>
      <c r="I12" s="4">
        <f t="shared" si="5"/>
        <v>45</v>
      </c>
      <c r="J12" s="4">
        <f t="shared" si="6"/>
        <v>18.5625</v>
      </c>
      <c r="K12" s="4">
        <f t="shared" si="7"/>
        <v>26.4375</v>
      </c>
      <c r="L12" s="4">
        <f t="shared" si="8"/>
        <v>37.068749999999994</v>
      </c>
      <c r="M12" s="4">
        <f t="shared" si="9"/>
        <v>370.61874999999998</v>
      </c>
      <c r="N12" s="4">
        <f t="shared" si="0"/>
        <v>370.61874999999998</v>
      </c>
      <c r="O12" s="8">
        <v>0</v>
      </c>
      <c r="P12" s="8">
        <v>0</v>
      </c>
      <c r="Q12" s="4">
        <f t="shared" si="10"/>
        <v>595</v>
      </c>
      <c r="R12" s="8">
        <f t="shared" si="11"/>
        <v>0</v>
      </c>
      <c r="S12" s="8"/>
      <c r="T12" s="47"/>
      <c r="U12" s="9"/>
      <c r="V12" s="10"/>
      <c r="W12" s="7"/>
      <c r="X12" s="7"/>
      <c r="Y12" s="7"/>
      <c r="Z12" s="7"/>
      <c r="AA12" s="7"/>
      <c r="AB12" s="7"/>
    </row>
    <row r="13" spans="1:28" ht="15.75" x14ac:dyDescent="0.25">
      <c r="A13" s="46">
        <v>11</v>
      </c>
      <c r="B13" s="4">
        <f t="shared" si="1"/>
        <v>500</v>
      </c>
      <c r="C13" s="4">
        <v>500</v>
      </c>
      <c r="D13" s="4">
        <f t="shared" si="12"/>
        <v>45</v>
      </c>
      <c r="E13" s="8">
        <f t="shared" si="13"/>
        <v>0</v>
      </c>
      <c r="F13" s="4">
        <f t="shared" si="2"/>
        <v>0</v>
      </c>
      <c r="G13" s="4">
        <f t="shared" si="3"/>
        <v>0</v>
      </c>
      <c r="H13" s="5">
        <f t="shared" si="4"/>
        <v>0</v>
      </c>
      <c r="I13" s="4">
        <f t="shared" si="5"/>
        <v>45</v>
      </c>
      <c r="J13" s="4">
        <f t="shared" si="6"/>
        <v>18.5625</v>
      </c>
      <c r="K13" s="4">
        <f t="shared" si="7"/>
        <v>26.4375</v>
      </c>
      <c r="L13" s="4">
        <f t="shared" si="8"/>
        <v>37.068749999999994</v>
      </c>
      <c r="M13" s="4">
        <f t="shared" si="9"/>
        <v>407.6875</v>
      </c>
      <c r="N13" s="4">
        <f t="shared" si="0"/>
        <v>407.6875</v>
      </c>
      <c r="O13" s="8">
        <v>0</v>
      </c>
      <c r="P13" s="8">
        <v>0</v>
      </c>
      <c r="Q13" s="4">
        <f t="shared" si="10"/>
        <v>550</v>
      </c>
      <c r="R13" s="8">
        <f t="shared" si="11"/>
        <v>0</v>
      </c>
      <c r="S13" s="8"/>
      <c r="T13" s="47"/>
      <c r="U13" s="9"/>
      <c r="V13" s="7"/>
      <c r="W13" s="7"/>
      <c r="X13" s="7"/>
      <c r="Y13" s="7"/>
      <c r="Z13" s="7"/>
      <c r="AA13" s="7"/>
      <c r="AB13" s="7"/>
    </row>
    <row r="14" spans="1:28" ht="15.75" x14ac:dyDescent="0.25">
      <c r="A14" s="46">
        <v>12</v>
      </c>
      <c r="B14" s="4">
        <f t="shared" si="1"/>
        <v>500</v>
      </c>
      <c r="C14" s="4">
        <v>500</v>
      </c>
      <c r="D14" s="4">
        <f t="shared" si="12"/>
        <v>45</v>
      </c>
      <c r="E14" s="8">
        <f>E13+O13</f>
        <v>0</v>
      </c>
      <c r="F14" s="4">
        <f t="shared" si="2"/>
        <v>0</v>
      </c>
      <c r="G14" s="4">
        <f t="shared" si="3"/>
        <v>0</v>
      </c>
      <c r="H14" s="5">
        <f t="shared" si="4"/>
        <v>0</v>
      </c>
      <c r="I14" s="4">
        <f t="shared" si="5"/>
        <v>45</v>
      </c>
      <c r="J14" s="4">
        <f t="shared" si="6"/>
        <v>18.5625</v>
      </c>
      <c r="K14" s="4">
        <f t="shared" si="7"/>
        <v>26.4375</v>
      </c>
      <c r="L14" s="4">
        <f t="shared" si="8"/>
        <v>37.068749999999994</v>
      </c>
      <c r="M14" s="4">
        <f t="shared" si="9"/>
        <v>444.75625000000002</v>
      </c>
      <c r="N14" s="4">
        <f t="shared" si="0"/>
        <v>444.75625000000002</v>
      </c>
      <c r="O14" s="8">
        <v>0</v>
      </c>
      <c r="P14" s="8">
        <v>0</v>
      </c>
      <c r="Q14" s="4">
        <f t="shared" si="10"/>
        <v>505</v>
      </c>
      <c r="R14" s="8">
        <f t="shared" si="11"/>
        <v>0</v>
      </c>
      <c r="S14" s="8"/>
      <c r="T14" s="47"/>
      <c r="U14" s="9"/>
      <c r="V14" s="7"/>
      <c r="W14" s="7"/>
      <c r="X14" s="7"/>
      <c r="Y14" s="7"/>
      <c r="Z14" s="7"/>
      <c r="AA14" s="7"/>
      <c r="AB14" s="7"/>
    </row>
    <row r="15" spans="1:28" ht="15.75" x14ac:dyDescent="0.25">
      <c r="A15" s="48">
        <v>13</v>
      </c>
      <c r="B15" s="25">
        <f t="shared" si="1"/>
        <v>500</v>
      </c>
      <c r="C15" s="25">
        <v>500</v>
      </c>
      <c r="D15" s="25">
        <f t="shared" si="12"/>
        <v>45</v>
      </c>
      <c r="E15" s="26">
        <f>E14+O14</f>
        <v>0</v>
      </c>
      <c r="F15" s="25">
        <f t="shared" si="2"/>
        <v>0</v>
      </c>
      <c r="G15" s="25">
        <f t="shared" si="3"/>
        <v>0</v>
      </c>
      <c r="H15" s="27">
        <f t="shared" si="4"/>
        <v>0</v>
      </c>
      <c r="I15" s="25">
        <f t="shared" si="5"/>
        <v>45</v>
      </c>
      <c r="J15" s="25">
        <f t="shared" si="6"/>
        <v>18.5625</v>
      </c>
      <c r="K15" s="25">
        <f t="shared" si="7"/>
        <v>26.4375</v>
      </c>
      <c r="L15" s="25">
        <f t="shared" si="8"/>
        <v>37.068749999999994</v>
      </c>
      <c r="M15" s="25">
        <f t="shared" si="9"/>
        <v>481.82500000000005</v>
      </c>
      <c r="N15" s="25">
        <f t="shared" si="0"/>
        <v>481.82500000000005</v>
      </c>
      <c r="O15" s="26">
        <v>0</v>
      </c>
      <c r="P15" s="26">
        <v>0</v>
      </c>
      <c r="Q15" s="25">
        <f t="shared" si="10"/>
        <v>460</v>
      </c>
      <c r="R15" s="26">
        <f t="shared" si="11"/>
        <v>0</v>
      </c>
      <c r="S15" s="26"/>
      <c r="T15" s="49"/>
      <c r="U15" s="9"/>
      <c r="V15" s="7"/>
      <c r="W15" s="7"/>
      <c r="X15" s="7"/>
      <c r="Y15" s="7"/>
      <c r="Z15" s="7"/>
      <c r="AA15" s="7"/>
      <c r="AB15" s="7"/>
    </row>
    <row r="16" spans="1:28" x14ac:dyDescent="0.25">
      <c r="A16" s="50">
        <v>14</v>
      </c>
      <c r="B16" s="25">
        <f t="shared" si="1"/>
        <v>500</v>
      </c>
      <c r="C16" s="25">
        <v>500</v>
      </c>
      <c r="D16" s="25">
        <f t="shared" si="12"/>
        <v>45</v>
      </c>
      <c r="E16" s="26">
        <f t="shared" si="13"/>
        <v>0</v>
      </c>
      <c r="F16" s="25">
        <f t="shared" si="2"/>
        <v>0</v>
      </c>
      <c r="G16" s="25">
        <f t="shared" si="3"/>
        <v>0</v>
      </c>
      <c r="H16" s="27">
        <f t="shared" si="4"/>
        <v>0</v>
      </c>
      <c r="I16" s="25">
        <f t="shared" si="5"/>
        <v>45</v>
      </c>
      <c r="J16" s="25">
        <f t="shared" si="6"/>
        <v>18.5625</v>
      </c>
      <c r="K16" s="25">
        <f t="shared" si="7"/>
        <v>26.4375</v>
      </c>
      <c r="L16" s="25">
        <f t="shared" si="8"/>
        <v>37.068749999999994</v>
      </c>
      <c r="M16" s="25">
        <f t="shared" si="9"/>
        <v>518.89375000000007</v>
      </c>
      <c r="N16" s="25">
        <f t="shared" si="0"/>
        <v>18.893750000000068</v>
      </c>
      <c r="O16" s="26">
        <v>500</v>
      </c>
      <c r="P16" s="26">
        <v>1</v>
      </c>
      <c r="Q16" s="25">
        <f t="shared" si="10"/>
        <v>315</v>
      </c>
      <c r="R16" s="26">
        <f t="shared" si="11"/>
        <v>100</v>
      </c>
      <c r="S16" s="26"/>
      <c r="T16" s="49"/>
      <c r="U16" s="7"/>
      <c r="V16" s="7"/>
      <c r="W16" s="7"/>
      <c r="X16" s="7"/>
      <c r="Y16" s="7"/>
      <c r="Z16" s="7"/>
      <c r="AA16" s="7"/>
      <c r="AB16" s="7"/>
    </row>
    <row r="17" spans="1:28" x14ac:dyDescent="0.25">
      <c r="A17" s="50">
        <v>15</v>
      </c>
      <c r="B17" s="25">
        <f t="shared" si="1"/>
        <v>1000</v>
      </c>
      <c r="C17" s="25">
        <v>500</v>
      </c>
      <c r="D17" s="25">
        <f t="shared" si="12"/>
        <v>45</v>
      </c>
      <c r="E17" s="26">
        <f t="shared" si="13"/>
        <v>500</v>
      </c>
      <c r="F17" s="25">
        <f t="shared" si="2"/>
        <v>45</v>
      </c>
      <c r="G17" s="25">
        <f t="shared" si="3"/>
        <v>50</v>
      </c>
      <c r="H17" s="27">
        <f t="shared" si="4"/>
        <v>4.5</v>
      </c>
      <c r="I17" s="25">
        <f t="shared" si="5"/>
        <v>94.5</v>
      </c>
      <c r="J17" s="25">
        <f t="shared" si="6"/>
        <v>38.981249999999996</v>
      </c>
      <c r="K17" s="25">
        <f t="shared" si="7"/>
        <v>55.518750000000004</v>
      </c>
      <c r="L17" s="25">
        <f t="shared" si="8"/>
        <v>77.844374999999999</v>
      </c>
      <c r="M17" s="25">
        <f t="shared" si="9"/>
        <v>96.738125000000068</v>
      </c>
      <c r="N17" s="25">
        <f t="shared" si="0"/>
        <v>96.738125000000068</v>
      </c>
      <c r="O17" s="26">
        <v>0</v>
      </c>
      <c r="P17" s="26">
        <v>0</v>
      </c>
      <c r="Q17" s="25">
        <f t="shared" si="10"/>
        <v>270</v>
      </c>
      <c r="R17" s="26">
        <f t="shared" si="11"/>
        <v>0</v>
      </c>
      <c r="S17" s="26"/>
      <c r="T17" s="49"/>
      <c r="U17" s="1"/>
      <c r="V17" s="7"/>
      <c r="W17" s="7"/>
      <c r="X17" s="7"/>
      <c r="Y17" s="7"/>
      <c r="Z17" s="7"/>
      <c r="AA17" s="7"/>
      <c r="AB17" s="7"/>
    </row>
    <row r="18" spans="1:28" x14ac:dyDescent="0.25">
      <c r="A18" s="50">
        <v>16</v>
      </c>
      <c r="B18" s="25">
        <f t="shared" si="1"/>
        <v>1000</v>
      </c>
      <c r="C18" s="25">
        <v>500</v>
      </c>
      <c r="D18" s="25">
        <f t="shared" si="12"/>
        <v>45</v>
      </c>
      <c r="E18" s="26">
        <f t="shared" si="13"/>
        <v>500</v>
      </c>
      <c r="F18" s="25">
        <f t="shared" si="2"/>
        <v>45</v>
      </c>
      <c r="G18" s="25">
        <f t="shared" si="3"/>
        <v>50</v>
      </c>
      <c r="H18" s="27">
        <f t="shared" si="4"/>
        <v>4.5</v>
      </c>
      <c r="I18" s="25">
        <f t="shared" si="5"/>
        <v>94.5</v>
      </c>
      <c r="J18" s="25">
        <f t="shared" si="6"/>
        <v>38.981249999999996</v>
      </c>
      <c r="K18" s="25">
        <f t="shared" si="7"/>
        <v>55.518750000000004</v>
      </c>
      <c r="L18" s="25">
        <f t="shared" si="8"/>
        <v>77.844374999999999</v>
      </c>
      <c r="M18" s="25">
        <f t="shared" si="9"/>
        <v>174.58250000000007</v>
      </c>
      <c r="N18" s="25">
        <f t="shared" si="0"/>
        <v>174.58250000000007</v>
      </c>
      <c r="O18" s="26">
        <v>0</v>
      </c>
      <c r="P18" s="26">
        <v>0</v>
      </c>
      <c r="Q18" s="25">
        <f t="shared" si="10"/>
        <v>225</v>
      </c>
      <c r="R18" s="26">
        <f t="shared" si="11"/>
        <v>0</v>
      </c>
      <c r="S18" s="26"/>
      <c r="T18" s="49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48">
        <v>17</v>
      </c>
      <c r="B19" s="25">
        <f t="shared" si="1"/>
        <v>1000</v>
      </c>
      <c r="C19" s="25">
        <v>500</v>
      </c>
      <c r="D19" s="25">
        <f t="shared" si="12"/>
        <v>45</v>
      </c>
      <c r="E19" s="26">
        <f t="shared" si="13"/>
        <v>500</v>
      </c>
      <c r="F19" s="25">
        <f t="shared" si="2"/>
        <v>45</v>
      </c>
      <c r="G19" s="25">
        <f t="shared" si="3"/>
        <v>50</v>
      </c>
      <c r="H19" s="27">
        <f t="shared" si="4"/>
        <v>4.5</v>
      </c>
      <c r="I19" s="25">
        <f t="shared" si="5"/>
        <v>94.5</v>
      </c>
      <c r="J19" s="25">
        <f t="shared" si="6"/>
        <v>38.981249999999996</v>
      </c>
      <c r="K19" s="25">
        <f t="shared" si="7"/>
        <v>55.518750000000004</v>
      </c>
      <c r="L19" s="25">
        <f t="shared" si="8"/>
        <v>77.844374999999999</v>
      </c>
      <c r="M19" s="25">
        <f t="shared" si="9"/>
        <v>252.42687500000005</v>
      </c>
      <c r="N19" s="25">
        <f t="shared" si="0"/>
        <v>252.42687500000005</v>
      </c>
      <c r="O19" s="26">
        <v>0</v>
      </c>
      <c r="P19" s="26">
        <v>0</v>
      </c>
      <c r="Q19" s="25">
        <f t="shared" si="10"/>
        <v>180</v>
      </c>
      <c r="R19" s="26">
        <f t="shared" si="11"/>
        <v>0</v>
      </c>
      <c r="S19" s="26"/>
      <c r="T19" s="49"/>
    </row>
    <row r="20" spans="1:28" x14ac:dyDescent="0.25">
      <c r="A20" s="50">
        <v>18</v>
      </c>
      <c r="B20" s="25">
        <f t="shared" si="1"/>
        <v>1000</v>
      </c>
      <c r="C20" s="25">
        <v>500</v>
      </c>
      <c r="D20" s="25">
        <f t="shared" si="12"/>
        <v>45</v>
      </c>
      <c r="E20" s="26">
        <f t="shared" si="13"/>
        <v>500</v>
      </c>
      <c r="F20" s="25">
        <f t="shared" si="2"/>
        <v>45</v>
      </c>
      <c r="G20" s="25">
        <f t="shared" si="3"/>
        <v>50</v>
      </c>
      <c r="H20" s="27">
        <f t="shared" si="4"/>
        <v>4.5</v>
      </c>
      <c r="I20" s="25">
        <f t="shared" si="5"/>
        <v>94.5</v>
      </c>
      <c r="J20" s="25">
        <f t="shared" si="6"/>
        <v>38.981249999999996</v>
      </c>
      <c r="K20" s="25">
        <f t="shared" si="7"/>
        <v>55.518750000000004</v>
      </c>
      <c r="L20" s="25">
        <f t="shared" si="8"/>
        <v>77.844374999999999</v>
      </c>
      <c r="M20" s="25">
        <f t="shared" si="9"/>
        <v>330.27125000000007</v>
      </c>
      <c r="N20" s="25">
        <f t="shared" si="0"/>
        <v>330.27125000000007</v>
      </c>
      <c r="O20" s="26">
        <v>0</v>
      </c>
      <c r="P20" s="26">
        <v>0</v>
      </c>
      <c r="Q20" s="25">
        <f t="shared" si="10"/>
        <v>135</v>
      </c>
      <c r="R20" s="26">
        <f t="shared" si="11"/>
        <v>0</v>
      </c>
      <c r="S20" s="26"/>
      <c r="T20" s="49"/>
    </row>
    <row r="21" spans="1:28" x14ac:dyDescent="0.25">
      <c r="A21" s="50">
        <v>19</v>
      </c>
      <c r="B21" s="25">
        <f t="shared" si="1"/>
        <v>1000</v>
      </c>
      <c r="C21" s="25">
        <v>500</v>
      </c>
      <c r="D21" s="25">
        <f t="shared" si="12"/>
        <v>45</v>
      </c>
      <c r="E21" s="26">
        <f t="shared" si="13"/>
        <v>500</v>
      </c>
      <c r="F21" s="25">
        <f t="shared" si="2"/>
        <v>45</v>
      </c>
      <c r="G21" s="25">
        <f t="shared" si="3"/>
        <v>50</v>
      </c>
      <c r="H21" s="27">
        <f t="shared" si="4"/>
        <v>4.5</v>
      </c>
      <c r="I21" s="25">
        <f t="shared" si="5"/>
        <v>94.5</v>
      </c>
      <c r="J21" s="25">
        <f t="shared" si="6"/>
        <v>38.981249999999996</v>
      </c>
      <c r="K21" s="25">
        <f t="shared" si="7"/>
        <v>55.518750000000004</v>
      </c>
      <c r="L21" s="25">
        <f t="shared" si="8"/>
        <v>77.844374999999999</v>
      </c>
      <c r="M21" s="25">
        <f t="shared" si="9"/>
        <v>408.11562500000008</v>
      </c>
      <c r="N21" s="25">
        <f t="shared" si="0"/>
        <v>408.11562500000008</v>
      </c>
      <c r="O21" s="26">
        <v>0</v>
      </c>
      <c r="P21" s="26">
        <v>0</v>
      </c>
      <c r="Q21" s="25">
        <f t="shared" si="10"/>
        <v>90</v>
      </c>
      <c r="R21" s="26">
        <f t="shared" si="11"/>
        <v>0</v>
      </c>
      <c r="S21" s="26"/>
      <c r="T21" s="51"/>
    </row>
    <row r="22" spans="1:28" x14ac:dyDescent="0.25">
      <c r="A22" s="50">
        <v>20</v>
      </c>
      <c r="B22" s="25">
        <f t="shared" si="1"/>
        <v>1000</v>
      </c>
      <c r="C22" s="25">
        <f>500</f>
        <v>500</v>
      </c>
      <c r="D22" s="25">
        <f t="shared" si="12"/>
        <v>45</v>
      </c>
      <c r="E22" s="26">
        <f t="shared" si="13"/>
        <v>500</v>
      </c>
      <c r="F22" s="25">
        <f t="shared" si="2"/>
        <v>45</v>
      </c>
      <c r="G22" s="25">
        <f t="shared" si="3"/>
        <v>50</v>
      </c>
      <c r="H22" s="27">
        <f t="shared" si="4"/>
        <v>4.5</v>
      </c>
      <c r="I22" s="25">
        <f t="shared" si="5"/>
        <v>94.5</v>
      </c>
      <c r="J22" s="25">
        <f t="shared" si="6"/>
        <v>38.981249999999996</v>
      </c>
      <c r="K22" s="25">
        <f t="shared" si="7"/>
        <v>55.518750000000004</v>
      </c>
      <c r="L22" s="25">
        <f t="shared" si="8"/>
        <v>77.844374999999999</v>
      </c>
      <c r="M22" s="25">
        <f t="shared" si="9"/>
        <v>485.96000000000009</v>
      </c>
      <c r="N22" s="25">
        <f>+M22-O22</f>
        <v>485.96000000000009</v>
      </c>
      <c r="O22" s="26">
        <v>0</v>
      </c>
      <c r="P22" s="26">
        <v>0</v>
      </c>
      <c r="Q22" s="25">
        <f>Q21-D21-R22</f>
        <v>45</v>
      </c>
      <c r="R22" s="26">
        <f t="shared" si="11"/>
        <v>0</v>
      </c>
      <c r="S22" s="26">
        <v>100</v>
      </c>
      <c r="T22" s="49">
        <f>+(R10+R11+R12+R13+R14+R15+R16+R17+R18+R19+R20+R21+R22)*0.7</f>
        <v>70</v>
      </c>
    </row>
    <row r="23" spans="1:28" x14ac:dyDescent="0.25">
      <c r="A23" s="52">
        <v>21</v>
      </c>
      <c r="B23" s="11">
        <f t="shared" si="1"/>
        <v>1600</v>
      </c>
      <c r="C23" s="11">
        <f t="shared" ref="C23:C29" si="14">500+600</f>
        <v>1100</v>
      </c>
      <c r="D23" s="11">
        <f t="shared" si="12"/>
        <v>99</v>
      </c>
      <c r="E23" s="12">
        <f t="shared" si="13"/>
        <v>500</v>
      </c>
      <c r="F23" s="11">
        <f t="shared" si="2"/>
        <v>45</v>
      </c>
      <c r="G23" s="11">
        <f t="shared" si="3"/>
        <v>50</v>
      </c>
      <c r="H23" s="13">
        <f t="shared" si="4"/>
        <v>4.5</v>
      </c>
      <c r="I23" s="11">
        <f t="shared" si="5"/>
        <v>148.5</v>
      </c>
      <c r="J23" s="11">
        <f t="shared" si="6"/>
        <v>61.256249999999994</v>
      </c>
      <c r="K23" s="11">
        <f t="shared" si="7"/>
        <v>87.243750000000006</v>
      </c>
      <c r="L23" s="11">
        <f t="shared" si="8"/>
        <v>122.326875</v>
      </c>
      <c r="M23" s="11">
        <f t="shared" si="9"/>
        <v>608.28687500000012</v>
      </c>
      <c r="N23" s="11">
        <f>+(M23-O23)-T23</f>
        <v>78.286875000000123</v>
      </c>
      <c r="O23" s="12">
        <v>0</v>
      </c>
      <c r="P23" s="12">
        <v>0</v>
      </c>
      <c r="Q23" s="11">
        <f>(Q22-D22-R23)+1200</f>
        <v>1200</v>
      </c>
      <c r="R23" s="12">
        <f t="shared" si="11"/>
        <v>0</v>
      </c>
      <c r="S23" s="12">
        <v>600</v>
      </c>
      <c r="T23" s="53">
        <f>+S23-T22</f>
        <v>530</v>
      </c>
    </row>
    <row r="24" spans="1:28" x14ac:dyDescent="0.25">
      <c r="A24" s="50">
        <v>22</v>
      </c>
      <c r="B24" s="25">
        <f t="shared" si="1"/>
        <v>1600</v>
      </c>
      <c r="C24" s="25">
        <f t="shared" si="14"/>
        <v>1100</v>
      </c>
      <c r="D24" s="25">
        <f t="shared" si="12"/>
        <v>99</v>
      </c>
      <c r="E24" s="26">
        <f t="shared" si="13"/>
        <v>500</v>
      </c>
      <c r="F24" s="25">
        <f t="shared" si="2"/>
        <v>45</v>
      </c>
      <c r="G24" s="25">
        <f t="shared" si="3"/>
        <v>50</v>
      </c>
      <c r="H24" s="27">
        <f t="shared" si="4"/>
        <v>4.5</v>
      </c>
      <c r="I24" s="25">
        <f t="shared" si="5"/>
        <v>148.5</v>
      </c>
      <c r="J24" s="25">
        <f t="shared" si="6"/>
        <v>61.256249999999994</v>
      </c>
      <c r="K24" s="25">
        <f t="shared" si="7"/>
        <v>87.243750000000006</v>
      </c>
      <c r="L24" s="25">
        <f t="shared" si="8"/>
        <v>122.326875</v>
      </c>
      <c r="M24" s="25">
        <f t="shared" si="9"/>
        <v>200.61375000000012</v>
      </c>
      <c r="N24" s="25">
        <f t="shared" si="0"/>
        <v>200.61375000000012</v>
      </c>
      <c r="O24" s="26">
        <v>0</v>
      </c>
      <c r="P24" s="26">
        <v>0</v>
      </c>
      <c r="Q24" s="25">
        <f t="shared" ref="Q24:Q62" si="15">Q23-D23-R24</f>
        <v>1101</v>
      </c>
      <c r="R24" s="26">
        <f t="shared" si="11"/>
        <v>0</v>
      </c>
      <c r="S24" s="26"/>
      <c r="T24" s="49"/>
    </row>
    <row r="25" spans="1:28" x14ac:dyDescent="0.25">
      <c r="A25" s="50">
        <v>23</v>
      </c>
      <c r="B25" s="25">
        <f t="shared" si="1"/>
        <v>1600</v>
      </c>
      <c r="C25" s="25">
        <f t="shared" si="14"/>
        <v>1100</v>
      </c>
      <c r="D25" s="25">
        <f t="shared" si="12"/>
        <v>99</v>
      </c>
      <c r="E25" s="26">
        <f t="shared" si="13"/>
        <v>500</v>
      </c>
      <c r="F25" s="25">
        <f t="shared" si="2"/>
        <v>45</v>
      </c>
      <c r="G25" s="25">
        <f t="shared" si="3"/>
        <v>50</v>
      </c>
      <c r="H25" s="27">
        <f t="shared" si="4"/>
        <v>4.5</v>
      </c>
      <c r="I25" s="25">
        <f t="shared" si="5"/>
        <v>148.5</v>
      </c>
      <c r="J25" s="25">
        <f t="shared" si="6"/>
        <v>61.256249999999994</v>
      </c>
      <c r="K25" s="25">
        <f t="shared" si="7"/>
        <v>87.243750000000006</v>
      </c>
      <c r="L25" s="25">
        <f t="shared" si="8"/>
        <v>122.326875</v>
      </c>
      <c r="M25" s="25">
        <f t="shared" si="9"/>
        <v>322.94062500000013</v>
      </c>
      <c r="N25" s="25">
        <f t="shared" si="0"/>
        <v>322.94062500000013</v>
      </c>
      <c r="O25" s="28">
        <v>0</v>
      </c>
      <c r="P25" s="26">
        <v>0</v>
      </c>
      <c r="Q25" s="25">
        <f t="shared" si="15"/>
        <v>1002</v>
      </c>
      <c r="R25" s="26">
        <f t="shared" si="11"/>
        <v>0</v>
      </c>
      <c r="S25" s="26"/>
      <c r="T25" s="49"/>
    </row>
    <row r="26" spans="1:28" x14ac:dyDescent="0.25">
      <c r="A26" s="50">
        <v>24</v>
      </c>
      <c r="B26" s="25">
        <f t="shared" si="1"/>
        <v>1600</v>
      </c>
      <c r="C26" s="25">
        <f t="shared" si="14"/>
        <v>1100</v>
      </c>
      <c r="D26" s="25">
        <f t="shared" si="12"/>
        <v>99</v>
      </c>
      <c r="E26" s="26">
        <f t="shared" si="13"/>
        <v>500</v>
      </c>
      <c r="F26" s="25">
        <f t="shared" si="2"/>
        <v>45</v>
      </c>
      <c r="G26" s="25">
        <f t="shared" si="3"/>
        <v>50</v>
      </c>
      <c r="H26" s="27">
        <f t="shared" si="4"/>
        <v>4.5</v>
      </c>
      <c r="I26" s="25">
        <f t="shared" si="5"/>
        <v>148.5</v>
      </c>
      <c r="J26" s="25">
        <f t="shared" si="6"/>
        <v>61.256249999999994</v>
      </c>
      <c r="K26" s="25">
        <f t="shared" si="7"/>
        <v>87.243750000000006</v>
      </c>
      <c r="L26" s="25">
        <f t="shared" si="8"/>
        <v>122.326875</v>
      </c>
      <c r="M26" s="25">
        <f t="shared" si="9"/>
        <v>445.26750000000015</v>
      </c>
      <c r="N26" s="25">
        <f t="shared" si="0"/>
        <v>445.26750000000015</v>
      </c>
      <c r="O26" s="28">
        <v>0</v>
      </c>
      <c r="P26" s="26">
        <v>0</v>
      </c>
      <c r="Q26" s="25">
        <f t="shared" si="15"/>
        <v>903</v>
      </c>
      <c r="R26" s="26">
        <f t="shared" si="11"/>
        <v>0</v>
      </c>
      <c r="S26" s="26"/>
      <c r="T26" s="49"/>
    </row>
    <row r="27" spans="1:28" x14ac:dyDescent="0.25">
      <c r="A27" s="54">
        <v>25</v>
      </c>
      <c r="B27" s="29">
        <f t="shared" si="1"/>
        <v>1600</v>
      </c>
      <c r="C27" s="29">
        <f t="shared" si="14"/>
        <v>1100</v>
      </c>
      <c r="D27" s="29">
        <f t="shared" si="12"/>
        <v>99</v>
      </c>
      <c r="E27" s="30">
        <f t="shared" si="13"/>
        <v>500</v>
      </c>
      <c r="F27" s="29">
        <f t="shared" si="2"/>
        <v>45</v>
      </c>
      <c r="G27" s="29">
        <f t="shared" si="3"/>
        <v>50</v>
      </c>
      <c r="H27" s="31">
        <f t="shared" si="4"/>
        <v>4.5</v>
      </c>
      <c r="I27" s="29">
        <f t="shared" si="5"/>
        <v>148.5</v>
      </c>
      <c r="J27" s="29">
        <f t="shared" si="6"/>
        <v>61.256249999999994</v>
      </c>
      <c r="K27" s="29">
        <f t="shared" si="7"/>
        <v>87.243750000000006</v>
      </c>
      <c r="L27" s="29">
        <f t="shared" si="8"/>
        <v>122.326875</v>
      </c>
      <c r="M27" s="29">
        <f t="shared" si="9"/>
        <v>567.59437500000013</v>
      </c>
      <c r="N27" s="29">
        <f t="shared" si="0"/>
        <v>67.594375000000127</v>
      </c>
      <c r="O27" s="32">
        <v>500</v>
      </c>
      <c r="P27" s="30">
        <v>2</v>
      </c>
      <c r="Q27" s="29">
        <f t="shared" si="15"/>
        <v>704</v>
      </c>
      <c r="R27" s="30">
        <f t="shared" si="11"/>
        <v>100</v>
      </c>
      <c r="S27" s="30"/>
      <c r="T27" s="55"/>
    </row>
    <row r="28" spans="1:28" x14ac:dyDescent="0.25">
      <c r="A28" s="54">
        <v>26</v>
      </c>
      <c r="B28" s="29">
        <f t="shared" si="1"/>
        <v>2100</v>
      </c>
      <c r="C28" s="29">
        <f t="shared" si="14"/>
        <v>1100</v>
      </c>
      <c r="D28" s="29">
        <f t="shared" si="12"/>
        <v>99</v>
      </c>
      <c r="E28" s="30">
        <f t="shared" si="13"/>
        <v>1000</v>
      </c>
      <c r="F28" s="29">
        <f t="shared" si="2"/>
        <v>90</v>
      </c>
      <c r="G28" s="29">
        <f t="shared" si="3"/>
        <v>100</v>
      </c>
      <c r="H28" s="31">
        <f t="shared" si="4"/>
        <v>9</v>
      </c>
      <c r="I28" s="29">
        <f t="shared" si="5"/>
        <v>198</v>
      </c>
      <c r="J28" s="29">
        <f t="shared" si="6"/>
        <v>81.674999999999997</v>
      </c>
      <c r="K28" s="29">
        <f t="shared" si="7"/>
        <v>116.325</v>
      </c>
      <c r="L28" s="29">
        <f t="shared" si="8"/>
        <v>163.10249999999999</v>
      </c>
      <c r="M28" s="29">
        <f t="shared" si="9"/>
        <v>230.69687500000012</v>
      </c>
      <c r="N28" s="29">
        <f t="shared" si="0"/>
        <v>230.69687500000012</v>
      </c>
      <c r="O28" s="32">
        <v>0</v>
      </c>
      <c r="P28" s="30">
        <v>0</v>
      </c>
      <c r="Q28" s="29">
        <f t="shared" si="15"/>
        <v>605</v>
      </c>
      <c r="R28" s="30">
        <f t="shared" si="11"/>
        <v>0</v>
      </c>
      <c r="S28" s="30"/>
      <c r="T28" s="55"/>
    </row>
    <row r="29" spans="1:28" x14ac:dyDescent="0.25">
      <c r="A29" s="54">
        <v>27</v>
      </c>
      <c r="B29" s="29">
        <f t="shared" si="1"/>
        <v>2100</v>
      </c>
      <c r="C29" s="29">
        <f t="shared" si="14"/>
        <v>1100</v>
      </c>
      <c r="D29" s="29">
        <f t="shared" si="12"/>
        <v>99</v>
      </c>
      <c r="E29" s="30">
        <f t="shared" si="13"/>
        <v>1000</v>
      </c>
      <c r="F29" s="29">
        <f t="shared" si="2"/>
        <v>90</v>
      </c>
      <c r="G29" s="29">
        <f t="shared" si="3"/>
        <v>100</v>
      </c>
      <c r="H29" s="31">
        <f t="shared" si="4"/>
        <v>9</v>
      </c>
      <c r="I29" s="29">
        <f t="shared" si="5"/>
        <v>198</v>
      </c>
      <c r="J29" s="29">
        <f t="shared" si="6"/>
        <v>81.674999999999997</v>
      </c>
      <c r="K29" s="29">
        <f t="shared" si="7"/>
        <v>116.325</v>
      </c>
      <c r="L29" s="29">
        <f t="shared" si="8"/>
        <v>163.10249999999999</v>
      </c>
      <c r="M29" s="29">
        <f t="shared" si="9"/>
        <v>393.79937500000011</v>
      </c>
      <c r="N29" s="29">
        <f>+M29-O29</f>
        <v>393.79937500000011</v>
      </c>
      <c r="O29" s="32">
        <v>0</v>
      </c>
      <c r="P29" s="30">
        <v>0</v>
      </c>
      <c r="Q29" s="29">
        <f t="shared" si="15"/>
        <v>506</v>
      </c>
      <c r="R29" s="30">
        <f t="shared" si="11"/>
        <v>0</v>
      </c>
      <c r="S29" s="30"/>
      <c r="T29" s="56"/>
    </row>
    <row r="30" spans="1:28" x14ac:dyDescent="0.25">
      <c r="A30" s="54">
        <v>28</v>
      </c>
      <c r="B30" s="29">
        <f t="shared" si="1"/>
        <v>2100</v>
      </c>
      <c r="C30" s="29">
        <f>500+600</f>
        <v>1100</v>
      </c>
      <c r="D30" s="29">
        <f t="shared" si="12"/>
        <v>99</v>
      </c>
      <c r="E30" s="30">
        <f t="shared" si="13"/>
        <v>1000</v>
      </c>
      <c r="F30" s="29">
        <f t="shared" si="2"/>
        <v>90</v>
      </c>
      <c r="G30" s="29">
        <f t="shared" si="3"/>
        <v>100</v>
      </c>
      <c r="H30" s="31">
        <f t="shared" si="4"/>
        <v>9</v>
      </c>
      <c r="I30" s="29">
        <f t="shared" si="5"/>
        <v>198</v>
      </c>
      <c r="J30" s="29">
        <f t="shared" si="6"/>
        <v>81.674999999999997</v>
      </c>
      <c r="K30" s="29">
        <f t="shared" si="7"/>
        <v>116.325</v>
      </c>
      <c r="L30" s="29">
        <f t="shared" si="8"/>
        <v>163.10249999999999</v>
      </c>
      <c r="M30" s="29">
        <f t="shared" si="9"/>
        <v>556.90187500000013</v>
      </c>
      <c r="N30" s="29">
        <f t="shared" si="0"/>
        <v>556.90187500000013</v>
      </c>
      <c r="O30" s="32">
        <v>0</v>
      </c>
      <c r="P30" s="30">
        <v>0</v>
      </c>
      <c r="Q30" s="29">
        <f>Q29-D29-R30</f>
        <v>407</v>
      </c>
      <c r="R30" s="30">
        <f t="shared" si="11"/>
        <v>0</v>
      </c>
      <c r="S30" s="30">
        <v>100</v>
      </c>
      <c r="T30" s="56">
        <f>+(R24+R25+R26+R27+R28+R29+R30+R31)*0.7</f>
        <v>70</v>
      </c>
    </row>
    <row r="31" spans="1:28" x14ac:dyDescent="0.25">
      <c r="A31" s="57">
        <v>29</v>
      </c>
      <c r="B31" s="11">
        <f t="shared" si="1"/>
        <v>2850</v>
      </c>
      <c r="C31" s="11">
        <f t="shared" ref="C31:C36" si="16">500+600+750</f>
        <v>1850</v>
      </c>
      <c r="D31" s="11">
        <f t="shared" si="12"/>
        <v>166.5</v>
      </c>
      <c r="E31" s="12">
        <f t="shared" si="13"/>
        <v>1000</v>
      </c>
      <c r="F31" s="11">
        <f t="shared" si="2"/>
        <v>90</v>
      </c>
      <c r="G31" s="11">
        <f t="shared" si="3"/>
        <v>100</v>
      </c>
      <c r="H31" s="13">
        <f t="shared" si="4"/>
        <v>9</v>
      </c>
      <c r="I31" s="11">
        <f t="shared" si="5"/>
        <v>265.5</v>
      </c>
      <c r="J31" s="11">
        <f t="shared" si="6"/>
        <v>109.51875</v>
      </c>
      <c r="K31" s="11">
        <f t="shared" si="7"/>
        <v>155.98125000000002</v>
      </c>
      <c r="L31" s="11">
        <f t="shared" si="8"/>
        <v>218.705625</v>
      </c>
      <c r="M31" s="11">
        <f t="shared" si="9"/>
        <v>775.60750000000007</v>
      </c>
      <c r="N31" s="11">
        <f>+(M31-O31)-T31</f>
        <v>95.607500000000073</v>
      </c>
      <c r="O31" s="14">
        <v>0</v>
      </c>
      <c r="P31" s="12">
        <v>0</v>
      </c>
      <c r="Q31" s="11">
        <f>(Q30-D30-R31)+1500</f>
        <v>1808</v>
      </c>
      <c r="R31" s="12">
        <f t="shared" si="11"/>
        <v>0</v>
      </c>
      <c r="S31" s="12">
        <v>750</v>
      </c>
      <c r="T31" s="53">
        <f>+S31-T30</f>
        <v>680</v>
      </c>
    </row>
    <row r="32" spans="1:28" x14ac:dyDescent="0.25">
      <c r="A32" s="54">
        <v>30</v>
      </c>
      <c r="B32" s="29">
        <f t="shared" si="1"/>
        <v>2850</v>
      </c>
      <c r="C32" s="29">
        <f t="shared" si="16"/>
        <v>1850</v>
      </c>
      <c r="D32" s="29">
        <f t="shared" si="12"/>
        <v>166.5</v>
      </c>
      <c r="E32" s="30">
        <f t="shared" si="13"/>
        <v>1000</v>
      </c>
      <c r="F32" s="29">
        <f t="shared" si="2"/>
        <v>90</v>
      </c>
      <c r="G32" s="29">
        <f t="shared" si="3"/>
        <v>100</v>
      </c>
      <c r="H32" s="31">
        <f t="shared" si="4"/>
        <v>9</v>
      </c>
      <c r="I32" s="29">
        <f t="shared" si="5"/>
        <v>265.5</v>
      </c>
      <c r="J32" s="29">
        <f t="shared" si="6"/>
        <v>109.51875</v>
      </c>
      <c r="K32" s="29">
        <f t="shared" si="7"/>
        <v>155.98125000000002</v>
      </c>
      <c r="L32" s="29">
        <f t="shared" si="8"/>
        <v>218.705625</v>
      </c>
      <c r="M32" s="29">
        <f t="shared" si="9"/>
        <v>314.31312500000007</v>
      </c>
      <c r="N32" s="29">
        <f t="shared" si="0"/>
        <v>314.31312500000007</v>
      </c>
      <c r="O32" s="32">
        <v>0</v>
      </c>
      <c r="P32" s="30">
        <v>0</v>
      </c>
      <c r="Q32" s="29">
        <f t="shared" si="15"/>
        <v>1641.5</v>
      </c>
      <c r="R32" s="30">
        <f t="shared" si="11"/>
        <v>0</v>
      </c>
      <c r="S32" s="30"/>
      <c r="T32" s="55"/>
    </row>
    <row r="33" spans="1:20" x14ac:dyDescent="0.25">
      <c r="A33" s="54">
        <v>31</v>
      </c>
      <c r="B33" s="29">
        <f t="shared" si="1"/>
        <v>2850</v>
      </c>
      <c r="C33" s="29">
        <f t="shared" si="16"/>
        <v>1850</v>
      </c>
      <c r="D33" s="29">
        <f t="shared" si="12"/>
        <v>166.5</v>
      </c>
      <c r="E33" s="30">
        <f t="shared" si="13"/>
        <v>1000</v>
      </c>
      <c r="F33" s="29">
        <f t="shared" si="2"/>
        <v>90</v>
      </c>
      <c r="G33" s="29">
        <f t="shared" si="3"/>
        <v>100</v>
      </c>
      <c r="H33" s="31">
        <f t="shared" si="4"/>
        <v>9</v>
      </c>
      <c r="I33" s="29">
        <f t="shared" si="5"/>
        <v>265.5</v>
      </c>
      <c r="J33" s="29">
        <f t="shared" si="6"/>
        <v>109.51875</v>
      </c>
      <c r="K33" s="29">
        <f t="shared" si="7"/>
        <v>155.98125000000002</v>
      </c>
      <c r="L33" s="29">
        <f t="shared" si="8"/>
        <v>218.705625</v>
      </c>
      <c r="M33" s="29">
        <f t="shared" si="9"/>
        <v>533.01875000000007</v>
      </c>
      <c r="N33" s="29">
        <f t="shared" si="0"/>
        <v>33.018750000000068</v>
      </c>
      <c r="O33" s="32">
        <v>500</v>
      </c>
      <c r="P33" s="30">
        <v>3</v>
      </c>
      <c r="Q33" s="29">
        <f t="shared" si="15"/>
        <v>1375</v>
      </c>
      <c r="R33" s="30">
        <f t="shared" si="11"/>
        <v>100</v>
      </c>
      <c r="S33" s="30"/>
      <c r="T33" s="55"/>
    </row>
    <row r="34" spans="1:20" x14ac:dyDescent="0.25">
      <c r="A34" s="54">
        <v>32</v>
      </c>
      <c r="B34" s="29">
        <f t="shared" si="1"/>
        <v>3350</v>
      </c>
      <c r="C34" s="29">
        <f t="shared" si="16"/>
        <v>1850</v>
      </c>
      <c r="D34" s="29">
        <f t="shared" si="12"/>
        <v>166.5</v>
      </c>
      <c r="E34" s="30">
        <f t="shared" si="13"/>
        <v>1500</v>
      </c>
      <c r="F34" s="29">
        <f t="shared" si="2"/>
        <v>135</v>
      </c>
      <c r="G34" s="29">
        <f t="shared" si="3"/>
        <v>150</v>
      </c>
      <c r="H34" s="31">
        <f t="shared" si="4"/>
        <v>13.5</v>
      </c>
      <c r="I34" s="29">
        <f t="shared" si="5"/>
        <v>315</v>
      </c>
      <c r="J34" s="29">
        <f t="shared" si="6"/>
        <v>129.9375</v>
      </c>
      <c r="K34" s="29">
        <f t="shared" si="7"/>
        <v>185.0625</v>
      </c>
      <c r="L34" s="29">
        <f t="shared" si="8"/>
        <v>259.48124999999999</v>
      </c>
      <c r="M34" s="29">
        <f t="shared" si="9"/>
        <v>292.50000000000006</v>
      </c>
      <c r="N34" s="29">
        <f t="shared" si="0"/>
        <v>292.50000000000006</v>
      </c>
      <c r="O34" s="32">
        <v>0</v>
      </c>
      <c r="P34" s="30">
        <v>0</v>
      </c>
      <c r="Q34" s="29">
        <f t="shared" si="15"/>
        <v>1208.5</v>
      </c>
      <c r="R34" s="30">
        <f t="shared" si="11"/>
        <v>0</v>
      </c>
      <c r="S34" s="30"/>
      <c r="T34" s="55"/>
    </row>
    <row r="35" spans="1:20" x14ac:dyDescent="0.25">
      <c r="A35" s="54">
        <v>33</v>
      </c>
      <c r="B35" s="29">
        <f t="shared" si="1"/>
        <v>3350</v>
      </c>
      <c r="C35" s="29">
        <f t="shared" si="16"/>
        <v>1850</v>
      </c>
      <c r="D35" s="29">
        <f t="shared" si="12"/>
        <v>166.5</v>
      </c>
      <c r="E35" s="30">
        <f t="shared" si="13"/>
        <v>1500</v>
      </c>
      <c r="F35" s="29">
        <f t="shared" si="2"/>
        <v>135</v>
      </c>
      <c r="G35" s="29">
        <f t="shared" si="3"/>
        <v>150</v>
      </c>
      <c r="H35" s="31">
        <f t="shared" si="4"/>
        <v>13.5</v>
      </c>
      <c r="I35" s="29">
        <f t="shared" si="5"/>
        <v>315</v>
      </c>
      <c r="J35" s="29">
        <f t="shared" si="6"/>
        <v>129.9375</v>
      </c>
      <c r="K35" s="29">
        <f t="shared" si="7"/>
        <v>185.0625</v>
      </c>
      <c r="L35" s="29">
        <f t="shared" si="8"/>
        <v>259.48124999999999</v>
      </c>
      <c r="M35" s="29">
        <f t="shared" si="9"/>
        <v>551.98125000000005</v>
      </c>
      <c r="N35" s="29">
        <f t="shared" si="0"/>
        <v>51.981250000000045</v>
      </c>
      <c r="O35" s="32">
        <v>500</v>
      </c>
      <c r="P35" s="30">
        <v>4</v>
      </c>
      <c r="Q35" s="29">
        <f t="shared" si="15"/>
        <v>942</v>
      </c>
      <c r="R35" s="30">
        <f t="shared" si="11"/>
        <v>100</v>
      </c>
      <c r="S35" s="30"/>
      <c r="T35" s="55"/>
    </row>
    <row r="36" spans="1:20" x14ac:dyDescent="0.25">
      <c r="A36" s="54">
        <v>34</v>
      </c>
      <c r="B36" s="29">
        <f t="shared" si="1"/>
        <v>3850</v>
      </c>
      <c r="C36" s="29">
        <f t="shared" si="16"/>
        <v>1850</v>
      </c>
      <c r="D36" s="29">
        <f t="shared" si="12"/>
        <v>166.5</v>
      </c>
      <c r="E36" s="30">
        <f t="shared" si="13"/>
        <v>2000</v>
      </c>
      <c r="F36" s="29">
        <f t="shared" si="2"/>
        <v>180</v>
      </c>
      <c r="G36" s="29">
        <f t="shared" si="3"/>
        <v>200</v>
      </c>
      <c r="H36" s="31">
        <f t="shared" si="4"/>
        <v>18</v>
      </c>
      <c r="I36" s="29">
        <f t="shared" si="5"/>
        <v>364.5</v>
      </c>
      <c r="J36" s="29">
        <f t="shared" si="6"/>
        <v>150.35624999999999</v>
      </c>
      <c r="K36" s="29">
        <f t="shared" si="7"/>
        <v>214.14375000000001</v>
      </c>
      <c r="L36" s="29">
        <f t="shared" si="8"/>
        <v>300.25687499999998</v>
      </c>
      <c r="M36" s="29">
        <f t="shared" si="9"/>
        <v>352.23812500000003</v>
      </c>
      <c r="N36" s="29">
        <f t="shared" si="0"/>
        <v>352.23812500000003</v>
      </c>
      <c r="O36" s="32">
        <v>0</v>
      </c>
      <c r="P36" s="30">
        <v>0</v>
      </c>
      <c r="Q36" s="29">
        <f>(Q35-D35-R36)</f>
        <v>775.5</v>
      </c>
      <c r="R36" s="30">
        <f t="shared" si="11"/>
        <v>0</v>
      </c>
      <c r="S36" s="30"/>
      <c r="T36" s="56"/>
    </row>
    <row r="37" spans="1:20" x14ac:dyDescent="0.25">
      <c r="A37" s="54">
        <v>35</v>
      </c>
      <c r="B37" s="29">
        <f t="shared" si="1"/>
        <v>3850</v>
      </c>
      <c r="C37" s="29">
        <f>500+600+750</f>
        <v>1850</v>
      </c>
      <c r="D37" s="29">
        <f t="shared" si="12"/>
        <v>166.5</v>
      </c>
      <c r="E37" s="30">
        <f t="shared" si="13"/>
        <v>2000</v>
      </c>
      <c r="F37" s="29">
        <f t="shared" si="2"/>
        <v>180</v>
      </c>
      <c r="G37" s="29">
        <f t="shared" si="3"/>
        <v>200</v>
      </c>
      <c r="H37" s="31">
        <f t="shared" si="4"/>
        <v>18</v>
      </c>
      <c r="I37" s="29">
        <f t="shared" si="5"/>
        <v>364.5</v>
      </c>
      <c r="J37" s="29">
        <f t="shared" si="6"/>
        <v>150.35624999999999</v>
      </c>
      <c r="K37" s="29">
        <f t="shared" si="7"/>
        <v>214.14375000000001</v>
      </c>
      <c r="L37" s="29">
        <f t="shared" si="8"/>
        <v>300.25687499999998</v>
      </c>
      <c r="M37" s="29">
        <f t="shared" si="9"/>
        <v>652.495</v>
      </c>
      <c r="N37" s="29">
        <f>+M37-O37</f>
        <v>152.495</v>
      </c>
      <c r="O37" s="32">
        <v>500</v>
      </c>
      <c r="P37" s="30">
        <v>5</v>
      </c>
      <c r="Q37" s="29">
        <f>+Q36-D36-R37</f>
        <v>509</v>
      </c>
      <c r="R37" s="30">
        <f t="shared" si="11"/>
        <v>100</v>
      </c>
      <c r="S37" s="30"/>
      <c r="T37" s="55"/>
    </row>
    <row r="38" spans="1:20" x14ac:dyDescent="0.25">
      <c r="A38" s="54">
        <v>36</v>
      </c>
      <c r="B38" s="29">
        <f t="shared" si="1"/>
        <v>4350</v>
      </c>
      <c r="C38" s="29">
        <f>500+600+750</f>
        <v>1850</v>
      </c>
      <c r="D38" s="29">
        <f t="shared" si="12"/>
        <v>166.5</v>
      </c>
      <c r="E38" s="30">
        <f t="shared" si="13"/>
        <v>2500</v>
      </c>
      <c r="F38" s="29">
        <f t="shared" si="2"/>
        <v>225</v>
      </c>
      <c r="G38" s="29">
        <f t="shared" si="3"/>
        <v>250</v>
      </c>
      <c r="H38" s="31">
        <f t="shared" si="4"/>
        <v>22.5</v>
      </c>
      <c r="I38" s="29">
        <f t="shared" si="5"/>
        <v>414</v>
      </c>
      <c r="J38" s="29">
        <f t="shared" si="6"/>
        <v>170.77499999999998</v>
      </c>
      <c r="K38" s="29">
        <f t="shared" si="7"/>
        <v>243.22500000000002</v>
      </c>
      <c r="L38" s="29">
        <f t="shared" si="8"/>
        <v>341.03249999999997</v>
      </c>
      <c r="M38" s="29">
        <f t="shared" si="9"/>
        <v>493.52749999999997</v>
      </c>
      <c r="N38" s="29">
        <f t="shared" si="0"/>
        <v>493.52749999999997</v>
      </c>
      <c r="O38" s="32">
        <v>0</v>
      </c>
      <c r="P38" s="30">
        <v>0</v>
      </c>
      <c r="Q38" s="29">
        <f t="shared" si="15"/>
        <v>342.5</v>
      </c>
      <c r="R38" s="30">
        <f t="shared" si="11"/>
        <v>0</v>
      </c>
      <c r="S38" s="30"/>
      <c r="T38" s="55"/>
    </row>
    <row r="39" spans="1:20" x14ac:dyDescent="0.25">
      <c r="A39" s="58">
        <v>37</v>
      </c>
      <c r="B39" s="33">
        <f t="shared" si="1"/>
        <v>4350</v>
      </c>
      <c r="C39" s="33">
        <f>500+600+750</f>
        <v>1850</v>
      </c>
      <c r="D39" s="33">
        <f t="shared" si="12"/>
        <v>166.5</v>
      </c>
      <c r="E39" s="34">
        <f t="shared" si="13"/>
        <v>2500</v>
      </c>
      <c r="F39" s="33">
        <f t="shared" si="2"/>
        <v>225</v>
      </c>
      <c r="G39" s="33">
        <f t="shared" si="3"/>
        <v>250</v>
      </c>
      <c r="H39" s="35">
        <f t="shared" si="4"/>
        <v>22.5</v>
      </c>
      <c r="I39" s="33">
        <f t="shared" si="5"/>
        <v>414</v>
      </c>
      <c r="J39" s="33">
        <f t="shared" si="6"/>
        <v>170.77499999999998</v>
      </c>
      <c r="K39" s="33">
        <f t="shared" si="7"/>
        <v>243.22500000000002</v>
      </c>
      <c r="L39" s="33">
        <f t="shared" si="8"/>
        <v>341.03249999999997</v>
      </c>
      <c r="M39" s="33">
        <f t="shared" si="9"/>
        <v>834.56</v>
      </c>
      <c r="N39" s="33">
        <f t="shared" si="0"/>
        <v>834.56</v>
      </c>
      <c r="O39" s="36">
        <v>0</v>
      </c>
      <c r="P39" s="34">
        <v>0</v>
      </c>
      <c r="Q39" s="33">
        <f t="shared" si="15"/>
        <v>176</v>
      </c>
      <c r="R39" s="34">
        <f t="shared" si="11"/>
        <v>0</v>
      </c>
      <c r="S39" s="34">
        <v>300</v>
      </c>
      <c r="T39" s="59">
        <f>+(R31+R32+R33+R34+R35+R36+R37+R38+R39)*0.7</f>
        <v>210</v>
      </c>
    </row>
    <row r="40" spans="1:20" x14ac:dyDescent="0.25">
      <c r="A40" s="57">
        <v>38</v>
      </c>
      <c r="B40" s="11">
        <f t="shared" si="1"/>
        <v>5350</v>
      </c>
      <c r="C40" s="11">
        <f t="shared" ref="C40:C43" si="17">500+600+750+1000</f>
        <v>2850</v>
      </c>
      <c r="D40" s="11">
        <f t="shared" si="12"/>
        <v>256.5</v>
      </c>
      <c r="E40" s="12">
        <f t="shared" si="13"/>
        <v>2500</v>
      </c>
      <c r="F40" s="11">
        <f t="shared" si="2"/>
        <v>225</v>
      </c>
      <c r="G40" s="11">
        <f t="shared" si="3"/>
        <v>250</v>
      </c>
      <c r="H40" s="13">
        <f t="shared" si="4"/>
        <v>22.5</v>
      </c>
      <c r="I40" s="11">
        <f t="shared" si="5"/>
        <v>504</v>
      </c>
      <c r="J40" s="11">
        <f t="shared" si="6"/>
        <v>207.89999999999998</v>
      </c>
      <c r="K40" s="11">
        <f t="shared" si="7"/>
        <v>296.10000000000002</v>
      </c>
      <c r="L40" s="11">
        <f t="shared" si="8"/>
        <v>415.16999999999996</v>
      </c>
      <c r="M40" s="11">
        <f t="shared" si="9"/>
        <v>1249.73</v>
      </c>
      <c r="N40" s="11">
        <f>+(M40-O40)-T40</f>
        <v>459.73</v>
      </c>
      <c r="O40" s="14">
        <v>0</v>
      </c>
      <c r="P40" s="12">
        <v>0</v>
      </c>
      <c r="Q40" s="11">
        <f>(Q39-D39-R40)+2000</f>
        <v>2009.5</v>
      </c>
      <c r="R40" s="12">
        <f t="shared" si="11"/>
        <v>0</v>
      </c>
      <c r="S40" s="12">
        <v>1000</v>
      </c>
      <c r="T40" s="53">
        <f>+S40-T39</f>
        <v>790</v>
      </c>
    </row>
    <row r="41" spans="1:20" x14ac:dyDescent="0.25">
      <c r="A41" s="58">
        <v>39</v>
      </c>
      <c r="B41" s="33">
        <f t="shared" si="1"/>
        <v>5350</v>
      </c>
      <c r="C41" s="33">
        <f t="shared" si="17"/>
        <v>2850</v>
      </c>
      <c r="D41" s="33">
        <f t="shared" si="12"/>
        <v>256.5</v>
      </c>
      <c r="E41" s="34">
        <f t="shared" si="13"/>
        <v>2500</v>
      </c>
      <c r="F41" s="33">
        <f t="shared" si="2"/>
        <v>225</v>
      </c>
      <c r="G41" s="33">
        <f t="shared" si="3"/>
        <v>250</v>
      </c>
      <c r="H41" s="35">
        <f t="shared" si="4"/>
        <v>22.5</v>
      </c>
      <c r="I41" s="33">
        <f t="shared" si="5"/>
        <v>504</v>
      </c>
      <c r="J41" s="33">
        <f t="shared" si="6"/>
        <v>207.89999999999998</v>
      </c>
      <c r="K41" s="33">
        <f t="shared" si="7"/>
        <v>296.10000000000002</v>
      </c>
      <c r="L41" s="33">
        <f t="shared" si="8"/>
        <v>415.16999999999996</v>
      </c>
      <c r="M41" s="33">
        <f t="shared" si="9"/>
        <v>874.9</v>
      </c>
      <c r="N41" s="33">
        <f t="shared" si="0"/>
        <v>374.9</v>
      </c>
      <c r="O41" s="36">
        <v>500</v>
      </c>
      <c r="P41" s="34">
        <v>6</v>
      </c>
      <c r="Q41" s="33">
        <f>Q40-D40-R41</f>
        <v>1653</v>
      </c>
      <c r="R41" s="34">
        <f t="shared" si="11"/>
        <v>100</v>
      </c>
      <c r="S41" s="34"/>
      <c r="T41" s="60"/>
    </row>
    <row r="42" spans="1:20" x14ac:dyDescent="0.25">
      <c r="A42" s="58">
        <v>40</v>
      </c>
      <c r="B42" s="33">
        <f t="shared" si="1"/>
        <v>5850</v>
      </c>
      <c r="C42" s="33">
        <f t="shared" si="17"/>
        <v>2850</v>
      </c>
      <c r="D42" s="33">
        <f t="shared" si="12"/>
        <v>256.5</v>
      </c>
      <c r="E42" s="34">
        <f t="shared" si="13"/>
        <v>3000</v>
      </c>
      <c r="F42" s="33">
        <f t="shared" si="2"/>
        <v>270</v>
      </c>
      <c r="G42" s="33">
        <f t="shared" si="3"/>
        <v>300</v>
      </c>
      <c r="H42" s="35">
        <f t="shared" si="4"/>
        <v>27</v>
      </c>
      <c r="I42" s="33">
        <f t="shared" si="5"/>
        <v>553.5</v>
      </c>
      <c r="J42" s="33">
        <f t="shared" si="6"/>
        <v>228.31874999999999</v>
      </c>
      <c r="K42" s="33">
        <f t="shared" si="7"/>
        <v>325.18125000000003</v>
      </c>
      <c r="L42" s="33">
        <f t="shared" si="8"/>
        <v>455.94562500000001</v>
      </c>
      <c r="M42" s="33">
        <f t="shared" si="9"/>
        <v>830.84562499999993</v>
      </c>
      <c r="N42" s="33">
        <f t="shared" si="0"/>
        <v>330.84562499999993</v>
      </c>
      <c r="O42" s="36">
        <v>500</v>
      </c>
      <c r="P42" s="34">
        <v>7</v>
      </c>
      <c r="Q42" s="33">
        <f t="shared" si="15"/>
        <v>1296.5</v>
      </c>
      <c r="R42" s="34">
        <f t="shared" si="11"/>
        <v>100</v>
      </c>
      <c r="S42" s="34"/>
      <c r="T42" s="60"/>
    </row>
    <row r="43" spans="1:20" x14ac:dyDescent="0.25">
      <c r="A43" s="58">
        <v>41</v>
      </c>
      <c r="B43" s="33">
        <f t="shared" si="1"/>
        <v>6350</v>
      </c>
      <c r="C43" s="33">
        <f t="shared" si="17"/>
        <v>2850</v>
      </c>
      <c r="D43" s="33">
        <f t="shared" si="12"/>
        <v>256.5</v>
      </c>
      <c r="E43" s="34">
        <f t="shared" si="13"/>
        <v>3500</v>
      </c>
      <c r="F43" s="33">
        <f t="shared" si="2"/>
        <v>315</v>
      </c>
      <c r="G43" s="33">
        <f t="shared" si="3"/>
        <v>350</v>
      </c>
      <c r="H43" s="35">
        <f t="shared" si="4"/>
        <v>31.5</v>
      </c>
      <c r="I43" s="33">
        <f t="shared" si="5"/>
        <v>603</v>
      </c>
      <c r="J43" s="33">
        <f t="shared" si="6"/>
        <v>248.73749999999998</v>
      </c>
      <c r="K43" s="33">
        <f t="shared" si="7"/>
        <v>354.26249999999999</v>
      </c>
      <c r="L43" s="33">
        <f t="shared" si="8"/>
        <v>496.72124999999994</v>
      </c>
      <c r="M43" s="33">
        <f t="shared" si="9"/>
        <v>827.56687499999987</v>
      </c>
      <c r="N43" s="33">
        <f t="shared" si="0"/>
        <v>327.56687499999987</v>
      </c>
      <c r="O43" s="36">
        <v>500</v>
      </c>
      <c r="P43" s="34">
        <v>8</v>
      </c>
      <c r="Q43" s="33">
        <f t="shared" si="15"/>
        <v>940</v>
      </c>
      <c r="R43" s="34">
        <f t="shared" si="11"/>
        <v>100</v>
      </c>
      <c r="S43" s="34"/>
      <c r="T43" s="59"/>
    </row>
    <row r="44" spans="1:20" x14ac:dyDescent="0.25">
      <c r="A44" s="58">
        <v>42</v>
      </c>
      <c r="B44" s="33">
        <f t="shared" si="1"/>
        <v>6850</v>
      </c>
      <c r="C44" s="33">
        <f>500+600+750+1000</f>
        <v>2850</v>
      </c>
      <c r="D44" s="33">
        <f t="shared" si="12"/>
        <v>256.5</v>
      </c>
      <c r="E44" s="34">
        <f t="shared" si="13"/>
        <v>4000</v>
      </c>
      <c r="F44" s="33">
        <f t="shared" si="2"/>
        <v>360</v>
      </c>
      <c r="G44" s="33">
        <f t="shared" si="3"/>
        <v>400</v>
      </c>
      <c r="H44" s="35">
        <f t="shared" si="4"/>
        <v>36</v>
      </c>
      <c r="I44" s="33">
        <f t="shared" si="5"/>
        <v>652.5</v>
      </c>
      <c r="J44" s="33">
        <f t="shared" si="6"/>
        <v>269.15625</v>
      </c>
      <c r="K44" s="33">
        <f t="shared" si="7"/>
        <v>383.34375</v>
      </c>
      <c r="L44" s="33">
        <f t="shared" si="8"/>
        <v>537.49687500000005</v>
      </c>
      <c r="M44" s="33">
        <f t="shared" si="9"/>
        <v>865.06374999999991</v>
      </c>
      <c r="N44" s="33">
        <f>+M44-O44</f>
        <v>365.06374999999991</v>
      </c>
      <c r="O44" s="36">
        <v>500</v>
      </c>
      <c r="P44" s="34">
        <v>9</v>
      </c>
      <c r="Q44" s="33">
        <f>Q43-D43-R44</f>
        <v>583.5</v>
      </c>
      <c r="R44" s="34">
        <f t="shared" si="11"/>
        <v>100</v>
      </c>
      <c r="S44" s="34"/>
      <c r="T44" s="60"/>
    </row>
    <row r="45" spans="1:20" x14ac:dyDescent="0.25">
      <c r="A45" s="58">
        <v>43</v>
      </c>
      <c r="B45" s="33">
        <f t="shared" si="1"/>
        <v>7350</v>
      </c>
      <c r="C45" s="33">
        <f>500+600+750+1000</f>
        <v>2850</v>
      </c>
      <c r="D45" s="33">
        <f t="shared" si="12"/>
        <v>256.5</v>
      </c>
      <c r="E45" s="34">
        <f t="shared" si="13"/>
        <v>4500</v>
      </c>
      <c r="F45" s="33">
        <f t="shared" si="2"/>
        <v>405</v>
      </c>
      <c r="G45" s="33">
        <f t="shared" si="3"/>
        <v>450</v>
      </c>
      <c r="H45" s="35">
        <f t="shared" si="4"/>
        <v>40.5</v>
      </c>
      <c r="I45" s="33">
        <f t="shared" si="5"/>
        <v>702</v>
      </c>
      <c r="J45" s="33">
        <f t="shared" si="6"/>
        <v>289.57499999999999</v>
      </c>
      <c r="K45" s="33">
        <f t="shared" si="7"/>
        <v>412.42500000000001</v>
      </c>
      <c r="L45" s="33">
        <f t="shared" si="8"/>
        <v>578.27250000000004</v>
      </c>
      <c r="M45" s="33">
        <f t="shared" si="9"/>
        <v>943.33624999999995</v>
      </c>
      <c r="N45" s="33">
        <f t="shared" si="0"/>
        <v>943.33624999999995</v>
      </c>
      <c r="O45" s="36">
        <v>0</v>
      </c>
      <c r="P45" s="34">
        <v>0</v>
      </c>
      <c r="Q45" s="33">
        <f t="shared" si="15"/>
        <v>327</v>
      </c>
      <c r="R45" s="34">
        <f t="shared" si="11"/>
        <v>0</v>
      </c>
      <c r="S45" s="34">
        <v>400</v>
      </c>
      <c r="T45" s="59">
        <f>+(R40+R41+R42+R43+R44+R45)*0.7</f>
        <v>280</v>
      </c>
    </row>
    <row r="46" spans="1:20" x14ac:dyDescent="0.25">
      <c r="A46" s="57">
        <v>44</v>
      </c>
      <c r="B46" s="11">
        <f t="shared" si="1"/>
        <v>8850</v>
      </c>
      <c r="C46" s="11">
        <f t="shared" ref="C46:C49" si="18">500+600+750+1000+1500</f>
        <v>4350</v>
      </c>
      <c r="D46" s="11">
        <f t="shared" si="12"/>
        <v>391.5</v>
      </c>
      <c r="E46" s="12">
        <f t="shared" si="13"/>
        <v>4500</v>
      </c>
      <c r="F46" s="11">
        <f t="shared" si="2"/>
        <v>405</v>
      </c>
      <c r="G46" s="11">
        <f t="shared" si="3"/>
        <v>450</v>
      </c>
      <c r="H46" s="13">
        <f t="shared" si="4"/>
        <v>40.5</v>
      </c>
      <c r="I46" s="11">
        <f t="shared" si="5"/>
        <v>837</v>
      </c>
      <c r="J46" s="11">
        <f t="shared" si="6"/>
        <v>345.26249999999999</v>
      </c>
      <c r="K46" s="11">
        <f t="shared" si="7"/>
        <v>491.73750000000001</v>
      </c>
      <c r="L46" s="11">
        <f t="shared" si="8"/>
        <v>689.47874999999999</v>
      </c>
      <c r="M46" s="11">
        <f t="shared" si="9"/>
        <v>1632.8150000000001</v>
      </c>
      <c r="N46" s="11">
        <f>+(M46-O46)-T46</f>
        <v>412.81500000000005</v>
      </c>
      <c r="O46" s="14">
        <v>0</v>
      </c>
      <c r="P46" s="12">
        <v>0</v>
      </c>
      <c r="Q46" s="11">
        <f>(Q45-D45-R46)+3000</f>
        <v>3070.5</v>
      </c>
      <c r="R46" s="12">
        <f t="shared" si="11"/>
        <v>0</v>
      </c>
      <c r="S46" s="12">
        <v>1500</v>
      </c>
      <c r="T46" s="61">
        <f>+S46-T45</f>
        <v>1220</v>
      </c>
    </row>
    <row r="47" spans="1:20" x14ac:dyDescent="0.25">
      <c r="A47" s="58">
        <v>45</v>
      </c>
      <c r="B47" s="33">
        <f t="shared" si="1"/>
        <v>8850</v>
      </c>
      <c r="C47" s="33">
        <f t="shared" si="18"/>
        <v>4350</v>
      </c>
      <c r="D47" s="33">
        <f t="shared" si="12"/>
        <v>391.5</v>
      </c>
      <c r="E47" s="34">
        <f t="shared" si="13"/>
        <v>4500</v>
      </c>
      <c r="F47" s="33">
        <f t="shared" si="2"/>
        <v>405</v>
      </c>
      <c r="G47" s="33">
        <f t="shared" si="3"/>
        <v>450</v>
      </c>
      <c r="H47" s="35">
        <f t="shared" si="4"/>
        <v>40.5</v>
      </c>
      <c r="I47" s="33">
        <f t="shared" si="5"/>
        <v>837</v>
      </c>
      <c r="J47" s="33">
        <f t="shared" si="6"/>
        <v>345.26249999999999</v>
      </c>
      <c r="K47" s="33">
        <f t="shared" si="7"/>
        <v>491.73750000000001</v>
      </c>
      <c r="L47" s="33">
        <f t="shared" si="8"/>
        <v>689.47874999999999</v>
      </c>
      <c r="M47" s="33">
        <f t="shared" si="9"/>
        <v>1102.29375</v>
      </c>
      <c r="N47" s="33">
        <f t="shared" si="0"/>
        <v>102.29375000000005</v>
      </c>
      <c r="O47" s="36">
        <v>1000</v>
      </c>
      <c r="P47" s="34" t="s">
        <v>17</v>
      </c>
      <c r="Q47" s="33">
        <f t="shared" si="15"/>
        <v>2479</v>
      </c>
      <c r="R47" s="34">
        <f t="shared" si="11"/>
        <v>200</v>
      </c>
      <c r="S47" s="34"/>
      <c r="T47" s="60"/>
    </row>
    <row r="48" spans="1:20" x14ac:dyDescent="0.25">
      <c r="A48" s="58">
        <v>46</v>
      </c>
      <c r="B48" s="33">
        <f t="shared" si="1"/>
        <v>9850</v>
      </c>
      <c r="C48" s="33">
        <f t="shared" si="18"/>
        <v>4350</v>
      </c>
      <c r="D48" s="33">
        <f t="shared" si="12"/>
        <v>391.5</v>
      </c>
      <c r="E48" s="34">
        <f t="shared" si="13"/>
        <v>5500</v>
      </c>
      <c r="F48" s="33">
        <f t="shared" si="2"/>
        <v>495</v>
      </c>
      <c r="G48" s="33">
        <f t="shared" si="3"/>
        <v>550</v>
      </c>
      <c r="H48" s="35">
        <f t="shared" si="4"/>
        <v>49.5</v>
      </c>
      <c r="I48" s="33">
        <f t="shared" si="5"/>
        <v>936</v>
      </c>
      <c r="J48" s="33">
        <f t="shared" si="6"/>
        <v>386.09999999999997</v>
      </c>
      <c r="K48" s="33">
        <f t="shared" si="7"/>
        <v>549.9</v>
      </c>
      <c r="L48" s="33">
        <f t="shared" si="8"/>
        <v>771.03</v>
      </c>
      <c r="M48" s="33">
        <f t="shared" si="9"/>
        <v>873.32375000000002</v>
      </c>
      <c r="N48" s="33">
        <f t="shared" si="0"/>
        <v>373.32375000000002</v>
      </c>
      <c r="O48" s="36">
        <v>500</v>
      </c>
      <c r="P48" s="34">
        <v>12</v>
      </c>
      <c r="Q48" s="33">
        <f t="shared" si="15"/>
        <v>1987.5</v>
      </c>
      <c r="R48" s="34">
        <f t="shared" si="11"/>
        <v>100</v>
      </c>
      <c r="S48" s="34"/>
      <c r="T48" s="60"/>
    </row>
    <row r="49" spans="1:20" x14ac:dyDescent="0.25">
      <c r="A49" s="58">
        <v>47</v>
      </c>
      <c r="B49" s="33">
        <f t="shared" si="1"/>
        <v>10350</v>
      </c>
      <c r="C49" s="33">
        <f t="shared" si="18"/>
        <v>4350</v>
      </c>
      <c r="D49" s="33">
        <f t="shared" si="12"/>
        <v>391.5</v>
      </c>
      <c r="E49" s="34">
        <f t="shared" si="13"/>
        <v>6000</v>
      </c>
      <c r="F49" s="33">
        <f>E49*9%</f>
        <v>540</v>
      </c>
      <c r="G49" s="33">
        <f t="shared" si="3"/>
        <v>600</v>
      </c>
      <c r="H49" s="35">
        <f t="shared" si="4"/>
        <v>54</v>
      </c>
      <c r="I49" s="33">
        <f t="shared" si="5"/>
        <v>985.5</v>
      </c>
      <c r="J49" s="33">
        <f t="shared" si="6"/>
        <v>406.51874999999995</v>
      </c>
      <c r="K49" s="33">
        <f t="shared" si="7"/>
        <v>578.98125000000005</v>
      </c>
      <c r="L49" s="33">
        <f t="shared" si="8"/>
        <v>811.80562499999996</v>
      </c>
      <c r="M49" s="33">
        <f t="shared" si="9"/>
        <v>1185.129375</v>
      </c>
      <c r="N49" s="33">
        <f t="shared" si="0"/>
        <v>185.12937499999998</v>
      </c>
      <c r="O49" s="36">
        <v>1000</v>
      </c>
      <c r="P49" s="34" t="s">
        <v>18</v>
      </c>
      <c r="Q49" s="33">
        <f t="shared" si="15"/>
        <v>1396</v>
      </c>
      <c r="R49" s="34">
        <f t="shared" si="11"/>
        <v>200</v>
      </c>
      <c r="S49" s="34"/>
      <c r="T49" s="59"/>
    </row>
    <row r="50" spans="1:20" x14ac:dyDescent="0.25">
      <c r="A50" s="58">
        <v>48</v>
      </c>
      <c r="B50" s="33">
        <f t="shared" si="1"/>
        <v>11350</v>
      </c>
      <c r="C50" s="33">
        <f>500+600+750+1000+1500</f>
        <v>4350</v>
      </c>
      <c r="D50" s="33">
        <f t="shared" si="12"/>
        <v>391.5</v>
      </c>
      <c r="E50" s="34">
        <f t="shared" si="13"/>
        <v>7000</v>
      </c>
      <c r="F50" s="33">
        <f t="shared" si="2"/>
        <v>630</v>
      </c>
      <c r="G50" s="33">
        <f t="shared" si="3"/>
        <v>700</v>
      </c>
      <c r="H50" s="35">
        <f t="shared" si="4"/>
        <v>63</v>
      </c>
      <c r="I50" s="33">
        <f t="shared" si="5"/>
        <v>1084.5</v>
      </c>
      <c r="J50" s="33">
        <f t="shared" si="6"/>
        <v>447.35624999999999</v>
      </c>
      <c r="K50" s="33">
        <f t="shared" si="7"/>
        <v>637.14375000000007</v>
      </c>
      <c r="L50" s="33">
        <f t="shared" si="8"/>
        <v>893.35687499999995</v>
      </c>
      <c r="M50" s="33">
        <f t="shared" si="9"/>
        <v>1078.4862499999999</v>
      </c>
      <c r="N50" s="33">
        <f>+M50-O50</f>
        <v>78.486249999999927</v>
      </c>
      <c r="O50" s="36">
        <v>1000</v>
      </c>
      <c r="P50" s="34" t="s">
        <v>19</v>
      </c>
      <c r="Q50" s="33">
        <f>Q49-D49-R50</f>
        <v>804.5</v>
      </c>
      <c r="R50" s="34">
        <f t="shared" si="11"/>
        <v>200</v>
      </c>
      <c r="S50" s="34"/>
      <c r="T50" s="60"/>
    </row>
    <row r="51" spans="1:20" x14ac:dyDescent="0.25">
      <c r="A51" s="62">
        <v>49</v>
      </c>
      <c r="B51" s="37">
        <f t="shared" si="1"/>
        <v>12350</v>
      </c>
      <c r="C51" s="37">
        <f>500+600+750+1000+1500</f>
        <v>4350</v>
      </c>
      <c r="D51" s="37">
        <f t="shared" si="12"/>
        <v>391.5</v>
      </c>
      <c r="E51" s="38">
        <f t="shared" si="13"/>
        <v>8000</v>
      </c>
      <c r="F51" s="37">
        <f t="shared" si="2"/>
        <v>720</v>
      </c>
      <c r="G51" s="37">
        <f t="shared" si="3"/>
        <v>800</v>
      </c>
      <c r="H51" s="39">
        <f t="shared" si="4"/>
        <v>72</v>
      </c>
      <c r="I51" s="37">
        <f t="shared" si="5"/>
        <v>1183.5</v>
      </c>
      <c r="J51" s="37">
        <f t="shared" si="6"/>
        <v>488.19374999999997</v>
      </c>
      <c r="K51" s="37">
        <f t="shared" si="7"/>
        <v>695.30624999999998</v>
      </c>
      <c r="L51" s="37">
        <f t="shared" si="8"/>
        <v>974.90812499999993</v>
      </c>
      <c r="M51" s="37">
        <f t="shared" si="9"/>
        <v>1053.3943749999999</v>
      </c>
      <c r="N51" s="37">
        <f t="shared" si="0"/>
        <v>553.39437499999985</v>
      </c>
      <c r="O51" s="40">
        <v>500</v>
      </c>
      <c r="P51" s="38">
        <v>17</v>
      </c>
      <c r="Q51" s="37">
        <f t="shared" si="15"/>
        <v>313</v>
      </c>
      <c r="R51" s="38">
        <f t="shared" si="11"/>
        <v>100</v>
      </c>
      <c r="S51" s="38">
        <v>800</v>
      </c>
      <c r="T51" s="63">
        <f>+(R46+R47+R48+R49+R50+R51)*0.7</f>
        <v>560</v>
      </c>
    </row>
    <row r="52" spans="1:20" x14ac:dyDescent="0.25">
      <c r="A52" s="57">
        <v>50</v>
      </c>
      <c r="B52" s="11">
        <f t="shared" si="1"/>
        <v>14850</v>
      </c>
      <c r="C52" s="11">
        <f t="shared" ref="C52:C55" si="19">500+600+750+1000+1500+2000</f>
        <v>6350</v>
      </c>
      <c r="D52" s="11">
        <f t="shared" si="12"/>
        <v>571.5</v>
      </c>
      <c r="E52" s="12">
        <f t="shared" si="13"/>
        <v>8500</v>
      </c>
      <c r="F52" s="11">
        <f t="shared" si="2"/>
        <v>765</v>
      </c>
      <c r="G52" s="11">
        <f t="shared" si="3"/>
        <v>850</v>
      </c>
      <c r="H52" s="13">
        <f t="shared" si="4"/>
        <v>76.5</v>
      </c>
      <c r="I52" s="11">
        <f t="shared" si="5"/>
        <v>1413</v>
      </c>
      <c r="J52" s="11">
        <f t="shared" si="6"/>
        <v>582.86249999999995</v>
      </c>
      <c r="K52" s="11">
        <f t="shared" si="7"/>
        <v>830.13750000000005</v>
      </c>
      <c r="L52" s="11">
        <f t="shared" si="8"/>
        <v>1163.9587499999998</v>
      </c>
      <c r="M52" s="11">
        <f t="shared" si="9"/>
        <v>1717.3531249999996</v>
      </c>
      <c r="N52" s="11">
        <f>+(M52-O52)-T52</f>
        <v>277.35312499999964</v>
      </c>
      <c r="O52" s="14">
        <v>0</v>
      </c>
      <c r="P52" s="12">
        <v>0</v>
      </c>
      <c r="Q52" s="11">
        <f>(Q51-D51-R52)+4000</f>
        <v>3921.5</v>
      </c>
      <c r="R52" s="12">
        <f t="shared" si="11"/>
        <v>0</v>
      </c>
      <c r="S52" s="12">
        <v>2000</v>
      </c>
      <c r="T52" s="53">
        <f>+S52-T51</f>
        <v>1440</v>
      </c>
    </row>
    <row r="53" spans="1:20" x14ac:dyDescent="0.25">
      <c r="A53" s="62">
        <v>51</v>
      </c>
      <c r="B53" s="37">
        <f t="shared" si="1"/>
        <v>14850</v>
      </c>
      <c r="C53" s="37">
        <f t="shared" si="19"/>
        <v>6350</v>
      </c>
      <c r="D53" s="37">
        <f t="shared" si="12"/>
        <v>571.5</v>
      </c>
      <c r="E53" s="38">
        <f t="shared" si="13"/>
        <v>8500</v>
      </c>
      <c r="F53" s="37">
        <f t="shared" si="2"/>
        <v>765</v>
      </c>
      <c r="G53" s="37">
        <f t="shared" si="3"/>
        <v>850</v>
      </c>
      <c r="H53" s="39">
        <f t="shared" si="4"/>
        <v>76.5</v>
      </c>
      <c r="I53" s="37">
        <f t="shared" si="5"/>
        <v>1413</v>
      </c>
      <c r="J53" s="37">
        <f t="shared" si="6"/>
        <v>582.86249999999995</v>
      </c>
      <c r="K53" s="37">
        <f t="shared" si="7"/>
        <v>830.13750000000005</v>
      </c>
      <c r="L53" s="37">
        <f t="shared" si="8"/>
        <v>1163.9587499999998</v>
      </c>
      <c r="M53" s="37">
        <f t="shared" si="9"/>
        <v>1441.3118749999994</v>
      </c>
      <c r="N53" s="37">
        <f t="shared" si="0"/>
        <v>441.31187499999942</v>
      </c>
      <c r="O53" s="40">
        <v>1000</v>
      </c>
      <c r="P53" s="38" t="s">
        <v>20</v>
      </c>
      <c r="Q53" s="37">
        <f t="shared" si="15"/>
        <v>3150</v>
      </c>
      <c r="R53" s="38">
        <f t="shared" si="11"/>
        <v>200</v>
      </c>
      <c r="S53" s="38"/>
      <c r="T53" s="64"/>
    </row>
    <row r="54" spans="1:20" x14ac:dyDescent="0.25">
      <c r="A54" s="62">
        <v>52</v>
      </c>
      <c r="B54" s="37">
        <f t="shared" si="1"/>
        <v>15850</v>
      </c>
      <c r="C54" s="37">
        <f t="shared" si="19"/>
        <v>6350</v>
      </c>
      <c r="D54" s="37">
        <f t="shared" si="12"/>
        <v>571.5</v>
      </c>
      <c r="E54" s="38">
        <f t="shared" si="13"/>
        <v>9500</v>
      </c>
      <c r="F54" s="37">
        <f t="shared" si="2"/>
        <v>855</v>
      </c>
      <c r="G54" s="37">
        <f t="shared" si="3"/>
        <v>950</v>
      </c>
      <c r="H54" s="39">
        <f t="shared" si="4"/>
        <v>85.5</v>
      </c>
      <c r="I54" s="37">
        <f t="shared" si="5"/>
        <v>1512</v>
      </c>
      <c r="J54" s="37">
        <f t="shared" si="6"/>
        <v>623.69999999999993</v>
      </c>
      <c r="K54" s="37">
        <f t="shared" si="7"/>
        <v>888.30000000000007</v>
      </c>
      <c r="L54" s="37">
        <f t="shared" si="8"/>
        <v>1245.51</v>
      </c>
      <c r="M54" s="37">
        <f t="shared" si="9"/>
        <v>1686.8218749999994</v>
      </c>
      <c r="N54" s="37">
        <f t="shared" si="0"/>
        <v>186.82187499999941</v>
      </c>
      <c r="O54" s="40">
        <v>1500</v>
      </c>
      <c r="P54" s="38" t="s">
        <v>21</v>
      </c>
      <c r="Q54" s="37">
        <f t="shared" si="15"/>
        <v>2278.5</v>
      </c>
      <c r="R54" s="38">
        <f t="shared" si="11"/>
        <v>300</v>
      </c>
      <c r="S54" s="38"/>
      <c r="T54" s="64"/>
    </row>
    <row r="55" spans="1:20" x14ac:dyDescent="0.25">
      <c r="A55" s="62">
        <v>53</v>
      </c>
      <c r="B55" s="37">
        <f t="shared" si="1"/>
        <v>17350</v>
      </c>
      <c r="C55" s="37">
        <f t="shared" si="19"/>
        <v>6350</v>
      </c>
      <c r="D55" s="37">
        <f t="shared" si="12"/>
        <v>571.5</v>
      </c>
      <c r="E55" s="38">
        <f t="shared" si="13"/>
        <v>11000</v>
      </c>
      <c r="F55" s="37">
        <f t="shared" si="2"/>
        <v>990</v>
      </c>
      <c r="G55" s="37">
        <f t="shared" si="3"/>
        <v>1100</v>
      </c>
      <c r="H55" s="39">
        <f t="shared" si="4"/>
        <v>99</v>
      </c>
      <c r="I55" s="37">
        <f t="shared" si="5"/>
        <v>1660.5</v>
      </c>
      <c r="J55" s="37">
        <f t="shared" si="6"/>
        <v>684.95624999999995</v>
      </c>
      <c r="K55" s="37">
        <f t="shared" si="7"/>
        <v>975.54375000000005</v>
      </c>
      <c r="L55" s="37">
        <f t="shared" si="8"/>
        <v>1367.836875</v>
      </c>
      <c r="M55" s="37">
        <f t="shared" si="9"/>
        <v>1554.6587499999994</v>
      </c>
      <c r="N55" s="37">
        <f t="shared" si="0"/>
        <v>54.658749999999372</v>
      </c>
      <c r="O55" s="40">
        <v>1500</v>
      </c>
      <c r="P55" s="38" t="s">
        <v>22</v>
      </c>
      <c r="Q55" s="37">
        <f t="shared" si="15"/>
        <v>1407</v>
      </c>
      <c r="R55" s="38">
        <f t="shared" si="11"/>
        <v>300</v>
      </c>
      <c r="S55" s="38"/>
      <c r="T55" s="63"/>
    </row>
    <row r="56" spans="1:20" x14ac:dyDescent="0.25">
      <c r="A56" s="62">
        <v>54</v>
      </c>
      <c r="B56" s="37">
        <f t="shared" si="1"/>
        <v>18850</v>
      </c>
      <c r="C56" s="37">
        <f>500+600+750+1000+1500+2000</f>
        <v>6350</v>
      </c>
      <c r="D56" s="37">
        <f t="shared" si="12"/>
        <v>571.5</v>
      </c>
      <c r="E56" s="38">
        <f t="shared" si="13"/>
        <v>12500</v>
      </c>
      <c r="F56" s="37">
        <f t="shared" si="2"/>
        <v>1125</v>
      </c>
      <c r="G56" s="37">
        <f t="shared" si="3"/>
        <v>1250</v>
      </c>
      <c r="H56" s="39">
        <f t="shared" si="4"/>
        <v>112.5</v>
      </c>
      <c r="I56" s="37">
        <f t="shared" si="5"/>
        <v>1809</v>
      </c>
      <c r="J56" s="37">
        <f t="shared" si="6"/>
        <v>746.21249999999998</v>
      </c>
      <c r="K56" s="37">
        <f t="shared" si="7"/>
        <v>1062.7875000000001</v>
      </c>
      <c r="L56" s="37">
        <f t="shared" si="8"/>
        <v>1490.1637500000002</v>
      </c>
      <c r="M56" s="37">
        <f t="shared" si="9"/>
        <v>1544.8224999999995</v>
      </c>
      <c r="N56" s="37">
        <f>+M56-O56</f>
        <v>1044.8224999999995</v>
      </c>
      <c r="O56" s="40">
        <v>500</v>
      </c>
      <c r="P56" s="38">
        <v>26</v>
      </c>
      <c r="Q56" s="37">
        <f>Q55-D55-R56</f>
        <v>735.5</v>
      </c>
      <c r="R56" s="38">
        <f t="shared" si="11"/>
        <v>100</v>
      </c>
      <c r="S56" s="38">
        <f>+R56+R55+R54+R53+R52</f>
        <v>900</v>
      </c>
      <c r="T56" s="63">
        <f>+(R56+R52+R53+R54+R55)*0.7</f>
        <v>630</v>
      </c>
    </row>
    <row r="57" spans="1:20" x14ac:dyDescent="0.25">
      <c r="A57" s="57">
        <v>55</v>
      </c>
      <c r="B57" s="11">
        <f t="shared" si="1"/>
        <v>22350</v>
      </c>
      <c r="C57" s="11">
        <f>500+600+750+1000+1500+2000+3000</f>
        <v>9350</v>
      </c>
      <c r="D57" s="11">
        <f t="shared" si="12"/>
        <v>841.5</v>
      </c>
      <c r="E57" s="12">
        <f t="shared" si="13"/>
        <v>13000</v>
      </c>
      <c r="F57" s="11">
        <f t="shared" si="2"/>
        <v>1170</v>
      </c>
      <c r="G57" s="11">
        <f t="shared" si="3"/>
        <v>1300</v>
      </c>
      <c r="H57" s="13">
        <f t="shared" si="4"/>
        <v>117</v>
      </c>
      <c r="I57" s="11">
        <f t="shared" si="5"/>
        <v>2128.5</v>
      </c>
      <c r="J57" s="11">
        <f t="shared" si="6"/>
        <v>878.00624999999991</v>
      </c>
      <c r="K57" s="11">
        <f t="shared" si="7"/>
        <v>1250.4937500000001</v>
      </c>
      <c r="L57" s="11">
        <f t="shared" si="8"/>
        <v>1753.3518749999998</v>
      </c>
      <c r="M57" s="11">
        <f t="shared" si="9"/>
        <v>2798.1743749999996</v>
      </c>
      <c r="N57" s="11">
        <f>+(M57-O57)-T57</f>
        <v>428.1743749999996</v>
      </c>
      <c r="O57" s="14">
        <v>0</v>
      </c>
      <c r="P57" s="12">
        <v>0</v>
      </c>
      <c r="Q57" s="11">
        <f>(Q56-D56-R57)+6000</f>
        <v>6164</v>
      </c>
      <c r="R57" s="12">
        <f t="shared" si="11"/>
        <v>0</v>
      </c>
      <c r="S57" s="12">
        <v>3000</v>
      </c>
      <c r="T57" s="53">
        <f>+S57-T56</f>
        <v>2370</v>
      </c>
    </row>
    <row r="58" spans="1:20" x14ac:dyDescent="0.25">
      <c r="A58" s="62">
        <v>56</v>
      </c>
      <c r="B58" s="37">
        <f t="shared" si="1"/>
        <v>22350</v>
      </c>
      <c r="C58" s="37">
        <f t="shared" ref="C58:C60" si="20">500+600+750+1000+1500+2000+3000</f>
        <v>9350</v>
      </c>
      <c r="D58" s="37">
        <f t="shared" si="12"/>
        <v>841.5</v>
      </c>
      <c r="E58" s="38">
        <f t="shared" si="13"/>
        <v>13000</v>
      </c>
      <c r="F58" s="37">
        <f t="shared" si="2"/>
        <v>1170</v>
      </c>
      <c r="G58" s="37">
        <f t="shared" si="3"/>
        <v>1300</v>
      </c>
      <c r="H58" s="39">
        <f t="shared" si="4"/>
        <v>117</v>
      </c>
      <c r="I58" s="37">
        <f t="shared" si="5"/>
        <v>2128.5</v>
      </c>
      <c r="J58" s="37">
        <f t="shared" si="6"/>
        <v>878.00624999999991</v>
      </c>
      <c r="K58" s="37">
        <f t="shared" si="7"/>
        <v>1250.4937500000001</v>
      </c>
      <c r="L58" s="37">
        <f t="shared" si="8"/>
        <v>1753.3518749999998</v>
      </c>
      <c r="M58" s="37">
        <f t="shared" si="9"/>
        <v>2181.5262499999994</v>
      </c>
      <c r="N58" s="37">
        <f>+M58-O58</f>
        <v>181.52624999999944</v>
      </c>
      <c r="O58" s="40">
        <v>2000</v>
      </c>
      <c r="P58" s="38" t="s">
        <v>23</v>
      </c>
      <c r="Q58" s="37">
        <f>Q57-D57-R58</f>
        <v>4922.5</v>
      </c>
      <c r="R58" s="38">
        <f t="shared" si="11"/>
        <v>400</v>
      </c>
      <c r="S58" s="38"/>
      <c r="T58" s="63"/>
    </row>
    <row r="59" spans="1:20" x14ac:dyDescent="0.25">
      <c r="A59" s="62">
        <v>57</v>
      </c>
      <c r="B59" s="37">
        <f t="shared" si="1"/>
        <v>24350</v>
      </c>
      <c r="C59" s="37">
        <f t="shared" si="20"/>
        <v>9350</v>
      </c>
      <c r="D59" s="37">
        <f t="shared" si="12"/>
        <v>841.5</v>
      </c>
      <c r="E59" s="38">
        <f t="shared" si="13"/>
        <v>15000</v>
      </c>
      <c r="F59" s="37">
        <f t="shared" si="2"/>
        <v>1350</v>
      </c>
      <c r="G59" s="37">
        <f t="shared" si="3"/>
        <v>1500</v>
      </c>
      <c r="H59" s="39">
        <f t="shared" si="4"/>
        <v>135</v>
      </c>
      <c r="I59" s="37">
        <f t="shared" si="5"/>
        <v>2326.5</v>
      </c>
      <c r="J59" s="37">
        <f t="shared" si="6"/>
        <v>959.68124999999998</v>
      </c>
      <c r="K59" s="37">
        <f t="shared" si="7"/>
        <v>1366.8187500000001</v>
      </c>
      <c r="L59" s="37">
        <f t="shared" si="8"/>
        <v>1916.454375</v>
      </c>
      <c r="M59" s="37">
        <f t="shared" si="9"/>
        <v>2097.9806249999992</v>
      </c>
      <c r="N59" s="37">
        <f t="shared" si="0"/>
        <v>97.980624999999236</v>
      </c>
      <c r="O59" s="40">
        <v>2000</v>
      </c>
      <c r="P59" s="38" t="s">
        <v>24</v>
      </c>
      <c r="Q59" s="37">
        <f t="shared" si="15"/>
        <v>3681</v>
      </c>
      <c r="R59" s="38">
        <f t="shared" si="11"/>
        <v>400</v>
      </c>
      <c r="S59" s="38"/>
      <c r="T59" s="64"/>
    </row>
    <row r="60" spans="1:20" x14ac:dyDescent="0.25">
      <c r="A60" s="62">
        <v>58</v>
      </c>
      <c r="B60" s="37">
        <f t="shared" si="1"/>
        <v>26350</v>
      </c>
      <c r="C60" s="37">
        <f t="shared" si="20"/>
        <v>9350</v>
      </c>
      <c r="D60" s="37">
        <f t="shared" si="12"/>
        <v>841.5</v>
      </c>
      <c r="E60" s="38">
        <f t="shared" si="13"/>
        <v>17000</v>
      </c>
      <c r="F60" s="37">
        <f t="shared" si="2"/>
        <v>1530</v>
      </c>
      <c r="G60" s="37">
        <f t="shared" si="3"/>
        <v>1700</v>
      </c>
      <c r="H60" s="39">
        <f t="shared" si="4"/>
        <v>153</v>
      </c>
      <c r="I60" s="37">
        <f t="shared" si="5"/>
        <v>2524.5</v>
      </c>
      <c r="J60" s="37">
        <f t="shared" si="6"/>
        <v>1041.35625</v>
      </c>
      <c r="K60" s="37">
        <f t="shared" si="7"/>
        <v>1483.14375</v>
      </c>
      <c r="L60" s="37">
        <f t="shared" si="8"/>
        <v>2079.5568750000002</v>
      </c>
      <c r="M60" s="37">
        <f t="shared" si="9"/>
        <v>2177.5374999999995</v>
      </c>
      <c r="N60" s="37">
        <f t="shared" si="0"/>
        <v>177.53749999999945</v>
      </c>
      <c r="O60" s="40">
        <v>2000</v>
      </c>
      <c r="P60" s="38" t="s">
        <v>25</v>
      </c>
      <c r="Q60" s="37">
        <f t="shared" si="15"/>
        <v>2439.5</v>
      </c>
      <c r="R60" s="38">
        <f t="shared" si="11"/>
        <v>400</v>
      </c>
      <c r="S60" s="38"/>
      <c r="T60" s="63"/>
    </row>
    <row r="61" spans="1:20" x14ac:dyDescent="0.25">
      <c r="A61" s="62">
        <v>59</v>
      </c>
      <c r="B61" s="37">
        <f t="shared" si="1"/>
        <v>28350</v>
      </c>
      <c r="C61" s="37">
        <f>500+600+750+1000+1500+2000+3000</f>
        <v>9350</v>
      </c>
      <c r="D61" s="37">
        <f t="shared" si="12"/>
        <v>841.5</v>
      </c>
      <c r="E61" s="38">
        <f t="shared" si="13"/>
        <v>19000</v>
      </c>
      <c r="F61" s="37">
        <f t="shared" si="2"/>
        <v>1710</v>
      </c>
      <c r="G61" s="37">
        <f t="shared" si="3"/>
        <v>1900</v>
      </c>
      <c r="H61" s="39">
        <f t="shared" si="4"/>
        <v>171</v>
      </c>
      <c r="I61" s="37">
        <f t="shared" si="5"/>
        <v>2722.5</v>
      </c>
      <c r="J61" s="37">
        <f t="shared" si="6"/>
        <v>1123.03125</v>
      </c>
      <c r="K61" s="37">
        <f t="shared" si="7"/>
        <v>1599.46875</v>
      </c>
      <c r="L61" s="37">
        <f t="shared" si="8"/>
        <v>2242.6593750000002</v>
      </c>
      <c r="M61" s="37">
        <f t="shared" si="9"/>
        <v>2420.1968749999996</v>
      </c>
      <c r="N61" s="37">
        <f>+M61-O61</f>
        <v>420.19687499999964</v>
      </c>
      <c r="O61" s="40">
        <v>2000</v>
      </c>
      <c r="P61" s="38" t="s">
        <v>26</v>
      </c>
      <c r="Q61" s="37">
        <f>Q60-D60-R61</f>
        <v>1198</v>
      </c>
      <c r="R61" s="38">
        <f t="shared" si="11"/>
        <v>400</v>
      </c>
      <c r="S61" s="38"/>
      <c r="T61" s="64"/>
    </row>
    <row r="62" spans="1:20" x14ac:dyDescent="0.25">
      <c r="A62" s="62">
        <v>60</v>
      </c>
      <c r="B62" s="37">
        <f t="shared" si="1"/>
        <v>30350</v>
      </c>
      <c r="C62" s="37">
        <f>500+600+750+1000+1500+2000+3000</f>
        <v>9350</v>
      </c>
      <c r="D62" s="37">
        <f t="shared" si="12"/>
        <v>841.5</v>
      </c>
      <c r="E62" s="38">
        <f t="shared" si="13"/>
        <v>21000</v>
      </c>
      <c r="F62" s="37">
        <f t="shared" si="2"/>
        <v>1890</v>
      </c>
      <c r="G62" s="37">
        <f t="shared" si="3"/>
        <v>2100</v>
      </c>
      <c r="H62" s="39">
        <f t="shared" si="4"/>
        <v>189</v>
      </c>
      <c r="I62" s="37">
        <f t="shared" si="5"/>
        <v>2920.5</v>
      </c>
      <c r="J62" s="37">
        <f t="shared" si="6"/>
        <v>1204.70625</v>
      </c>
      <c r="K62" s="37">
        <f t="shared" si="7"/>
        <v>1715.79375</v>
      </c>
      <c r="L62" s="37">
        <f t="shared" si="8"/>
        <v>2405.7618750000001</v>
      </c>
      <c r="M62" s="37">
        <f t="shared" si="9"/>
        <v>2825.9587499999998</v>
      </c>
      <c r="N62" s="37">
        <f t="shared" si="0"/>
        <v>1325.9587499999998</v>
      </c>
      <c r="O62" s="40">
        <v>1500</v>
      </c>
      <c r="P62" s="38" t="s">
        <v>27</v>
      </c>
      <c r="Q62" s="37">
        <f t="shared" si="15"/>
        <v>56.5</v>
      </c>
      <c r="R62" s="38">
        <f t="shared" si="11"/>
        <v>300</v>
      </c>
      <c r="S62" s="38">
        <f>+R57+R58+R59+R60+R61+R62</f>
        <v>1900</v>
      </c>
      <c r="T62" s="64">
        <f>+S62*0.7</f>
        <v>1330</v>
      </c>
    </row>
    <row r="63" spans="1:20" x14ac:dyDescent="0.25">
      <c r="A63" s="65"/>
      <c r="B63" s="15"/>
      <c r="C63" s="16"/>
      <c r="D63" s="17"/>
      <c r="E63" s="16"/>
      <c r="F63" s="17"/>
      <c r="G63" s="88" t="s">
        <v>7</v>
      </c>
      <c r="H63" s="89"/>
      <c r="I63" s="41">
        <f>SUM(I3:I62)</f>
        <v>37458</v>
      </c>
      <c r="J63" s="18">
        <v>0</v>
      </c>
      <c r="K63" s="19">
        <v>0</v>
      </c>
      <c r="L63" s="20">
        <f t="shared" si="8"/>
        <v>0</v>
      </c>
      <c r="M63" s="20"/>
      <c r="N63" s="42" t="s">
        <v>28</v>
      </c>
      <c r="O63" s="42">
        <f>SUM(O3:O62)</f>
        <v>22500</v>
      </c>
      <c r="P63" s="43">
        <v>45</v>
      </c>
      <c r="Q63" s="66" t="s">
        <v>15</v>
      </c>
      <c r="R63" s="43">
        <f>SUM(R3:R62)</f>
        <v>4500</v>
      </c>
      <c r="S63" s="16"/>
      <c r="T63" s="67"/>
    </row>
    <row r="64" spans="1:20" x14ac:dyDescent="0.25">
      <c r="A64" s="68"/>
      <c r="B64" s="69"/>
      <c r="C64" s="69"/>
      <c r="D64" s="69"/>
      <c r="E64" s="69"/>
      <c r="F64" s="69"/>
      <c r="G64" s="90"/>
      <c r="H64" s="90"/>
      <c r="I64" s="21"/>
      <c r="J64" s="70"/>
      <c r="K64" s="70"/>
      <c r="L64" s="3"/>
      <c r="M64" s="3"/>
      <c r="N64" s="71"/>
      <c r="O64" s="71"/>
      <c r="P64" s="3"/>
      <c r="Q64" s="7"/>
      <c r="R64" s="70"/>
      <c r="S64" s="69"/>
      <c r="T64" s="72"/>
    </row>
    <row r="65" spans="1:21" x14ac:dyDescent="0.25">
      <c r="A65" s="68"/>
      <c r="B65" s="91" t="s">
        <v>29</v>
      </c>
      <c r="C65" s="92"/>
      <c r="D65" s="92"/>
      <c r="E65" s="92"/>
      <c r="F65" s="92"/>
      <c r="G65" s="92"/>
      <c r="H65" s="93"/>
      <c r="I65" s="92"/>
      <c r="J65" s="92"/>
      <c r="K65" s="92"/>
      <c r="L65" s="94"/>
      <c r="M65" s="94"/>
      <c r="N65" s="95"/>
      <c r="O65" s="94"/>
      <c r="P65" s="3"/>
      <c r="Q65" s="84" t="s">
        <v>31</v>
      </c>
      <c r="R65" s="84"/>
      <c r="S65" s="85"/>
      <c r="T65" s="72"/>
    </row>
    <row r="66" spans="1:21" ht="15.75" x14ac:dyDescent="0.25">
      <c r="A66" s="68"/>
      <c r="B66" s="91" t="s">
        <v>30</v>
      </c>
      <c r="C66" s="92"/>
      <c r="D66" s="92"/>
      <c r="E66" s="92"/>
      <c r="F66" s="92"/>
      <c r="G66" s="92"/>
      <c r="H66" s="93"/>
      <c r="I66" s="92"/>
      <c r="J66" s="92"/>
      <c r="K66" s="92"/>
      <c r="L66" s="94"/>
      <c r="M66" s="94"/>
      <c r="N66" s="95"/>
      <c r="O66" s="94"/>
      <c r="P66" s="3"/>
      <c r="Q66" s="96" t="s">
        <v>37</v>
      </c>
      <c r="R66" s="96"/>
      <c r="S66" s="97"/>
      <c r="T66" s="80"/>
      <c r="U66" s="81"/>
    </row>
    <row r="67" spans="1:21" ht="15.75" x14ac:dyDescent="0.25">
      <c r="A67" s="68"/>
      <c r="B67" s="91" t="s">
        <v>32</v>
      </c>
      <c r="C67" s="92"/>
      <c r="D67" s="92"/>
      <c r="E67" s="92"/>
      <c r="F67" s="92"/>
      <c r="G67" s="92"/>
      <c r="H67" s="93"/>
      <c r="I67" s="92"/>
      <c r="J67" s="92"/>
      <c r="K67" s="92"/>
      <c r="L67" s="94"/>
      <c r="M67" s="94"/>
      <c r="N67" s="95"/>
      <c r="O67" s="94"/>
      <c r="P67" s="3"/>
      <c r="Q67" s="96">
        <v>7418485677</v>
      </c>
      <c r="R67" s="96"/>
      <c r="S67" s="97"/>
      <c r="T67" s="80"/>
      <c r="U67" s="81"/>
    </row>
    <row r="68" spans="1:21" ht="15.75" x14ac:dyDescent="0.25">
      <c r="A68" s="68"/>
      <c r="B68" s="91" t="s">
        <v>33</v>
      </c>
      <c r="C68" s="92"/>
      <c r="D68" s="92"/>
      <c r="E68" s="92"/>
      <c r="F68" s="92"/>
      <c r="G68" s="92"/>
      <c r="H68" s="93"/>
      <c r="I68" s="92"/>
      <c r="J68" s="92"/>
      <c r="K68" s="92"/>
      <c r="L68" s="94"/>
      <c r="M68" s="94"/>
      <c r="N68" s="95"/>
      <c r="O68" s="94"/>
      <c r="P68" s="94"/>
      <c r="Q68" s="92"/>
      <c r="R68" s="94"/>
      <c r="S68" s="78"/>
      <c r="T68" s="80"/>
      <c r="U68" s="81"/>
    </row>
    <row r="69" spans="1:21" ht="15.75" x14ac:dyDescent="0.25">
      <c r="A69" s="68"/>
      <c r="B69" s="91" t="s">
        <v>38</v>
      </c>
      <c r="C69" s="92"/>
      <c r="D69" s="92"/>
      <c r="E69" s="92"/>
      <c r="F69" s="92"/>
      <c r="G69" s="92"/>
      <c r="H69" s="93"/>
      <c r="I69" s="92"/>
      <c r="J69" s="92"/>
      <c r="K69" s="92"/>
      <c r="L69" s="94"/>
      <c r="M69" s="94"/>
      <c r="N69" s="95"/>
      <c r="O69" s="94"/>
      <c r="P69" s="94"/>
      <c r="Q69" s="92"/>
      <c r="R69" s="94"/>
      <c r="S69" s="78"/>
      <c r="T69" s="80"/>
      <c r="U69" s="81"/>
    </row>
    <row r="70" spans="1:21" ht="15.75" x14ac:dyDescent="0.25">
      <c r="A70" s="68"/>
      <c r="B70" s="91" t="s">
        <v>34</v>
      </c>
      <c r="C70" s="92"/>
      <c r="D70" s="92"/>
      <c r="E70" s="92"/>
      <c r="F70" s="92"/>
      <c r="G70" s="92"/>
      <c r="H70" s="93"/>
      <c r="I70" s="92"/>
      <c r="J70" s="92"/>
      <c r="K70" s="92"/>
      <c r="L70" s="94"/>
      <c r="M70" s="94"/>
      <c r="N70" s="95"/>
      <c r="O70" s="94"/>
      <c r="P70" s="94"/>
      <c r="Q70" s="92"/>
      <c r="R70" s="94"/>
      <c r="S70" s="79"/>
      <c r="T70" s="80"/>
      <c r="U70" s="81"/>
    </row>
    <row r="71" spans="1:21" ht="15.75" x14ac:dyDescent="0.25">
      <c r="A71" s="68"/>
      <c r="B71" s="91" t="s">
        <v>35</v>
      </c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4"/>
      <c r="Q71" s="92"/>
      <c r="R71" s="94"/>
      <c r="S71" s="78"/>
      <c r="T71" s="80"/>
      <c r="U71" s="81"/>
    </row>
    <row r="72" spans="1:21" ht="16.5" thickBot="1" x14ac:dyDescent="0.3">
      <c r="A72" s="73"/>
      <c r="B72" s="102" t="s">
        <v>39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4"/>
      <c r="T72" s="105"/>
      <c r="U72" s="81"/>
    </row>
    <row r="73" spans="1:21" ht="15.75" x14ac:dyDescent="0.25">
      <c r="A73" s="68"/>
      <c r="P73" s="92"/>
      <c r="Q73" s="92"/>
      <c r="R73" s="92"/>
      <c r="S73" s="78"/>
      <c r="T73" s="80"/>
      <c r="U73" s="81"/>
    </row>
    <row r="74" spans="1:21" ht="15.75" x14ac:dyDescent="0.25">
      <c r="A74" s="69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82"/>
      <c r="T74" s="82"/>
      <c r="U74" s="83"/>
    </row>
    <row r="75" spans="1:21" x14ac:dyDescent="0.2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</row>
    <row r="76" spans="1:21" x14ac:dyDescent="0.25">
      <c r="H76"/>
      <c r="L76"/>
      <c r="M76"/>
      <c r="N76"/>
      <c r="O76"/>
      <c r="P76"/>
      <c r="R76"/>
    </row>
    <row r="77" spans="1:21" x14ac:dyDescent="0.25">
      <c r="H77"/>
      <c r="L77"/>
      <c r="M77"/>
      <c r="N77"/>
      <c r="O77"/>
      <c r="P77"/>
      <c r="R77"/>
    </row>
    <row r="78" spans="1:21" x14ac:dyDescent="0.25">
      <c r="H78"/>
      <c r="L78"/>
      <c r="M78"/>
      <c r="N78"/>
      <c r="O78"/>
      <c r="P78"/>
      <c r="R78"/>
    </row>
    <row r="79" spans="1:21" x14ac:dyDescent="0.25">
      <c r="H79"/>
      <c r="L79"/>
      <c r="M79"/>
      <c r="N79"/>
      <c r="O79"/>
      <c r="P79"/>
      <c r="R79"/>
    </row>
    <row r="80" spans="1:21" x14ac:dyDescent="0.25">
      <c r="H80"/>
      <c r="L80"/>
      <c r="M80"/>
      <c r="N80"/>
      <c r="O80"/>
      <c r="P80"/>
      <c r="R80"/>
    </row>
    <row r="81" spans="8:18" x14ac:dyDescent="0.25">
      <c r="H81"/>
      <c r="L81"/>
      <c r="M81"/>
      <c r="N81"/>
      <c r="O81"/>
      <c r="P81"/>
      <c r="R81"/>
    </row>
  </sheetData>
  <mergeCells count="7">
    <mergeCell ref="A1:T1"/>
    <mergeCell ref="Q66:S66"/>
    <mergeCell ref="Q65:S65"/>
    <mergeCell ref="Q67:S67"/>
    <mergeCell ref="S2:T2"/>
    <mergeCell ref="G63:H63"/>
    <mergeCell ref="G64:H64"/>
  </mergeCells>
  <pageMargins left="0.7" right="0.7" top="0.24" bottom="0.18" header="0.25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USDX 500-5050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Municipal Boys HSS</cp:lastModifiedBy>
  <cp:lastPrinted>2026-07-17T07:24:49Z</cp:lastPrinted>
  <dcterms:created xsi:type="dcterms:W3CDTF">2026-01-06T23:06:17Z</dcterms:created>
  <dcterms:modified xsi:type="dcterms:W3CDTF">2026-07-17T07:25:51Z</dcterms:modified>
</cp:coreProperties>
</file>