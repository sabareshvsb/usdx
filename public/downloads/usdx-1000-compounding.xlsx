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USDX 1000-5050" sheetId="1" r:id="rId1"/>
  </sheets>
  <calcPr calcId="144525"/>
</workbook>
</file>

<file path=xl/calcChain.xml><?xml version="1.0" encoding="utf-8"?>
<calcChain xmlns="http://schemas.openxmlformats.org/spreadsheetml/2006/main">
  <c r="E50" i="1" l="1"/>
  <c r="R49" i="1"/>
  <c r="D49" i="1"/>
  <c r="C49" i="1"/>
  <c r="R48" i="1"/>
  <c r="C48" i="1"/>
  <c r="R47" i="1"/>
  <c r="C47" i="1"/>
  <c r="R46" i="1"/>
  <c r="C46" i="1"/>
  <c r="R45" i="1"/>
  <c r="C45" i="1"/>
  <c r="D45" i="1" s="1"/>
  <c r="R44" i="1"/>
  <c r="C44" i="1"/>
  <c r="D44" i="1" s="1"/>
  <c r="R43" i="1"/>
  <c r="D43" i="1"/>
  <c r="C43" i="1"/>
  <c r="R42" i="1"/>
  <c r="C42" i="1"/>
  <c r="R41" i="1"/>
  <c r="D41" i="1"/>
  <c r="C41" i="1"/>
  <c r="R40" i="1"/>
  <c r="C40" i="1"/>
  <c r="D40" i="1" s="1"/>
  <c r="R39" i="1"/>
  <c r="D39" i="1"/>
  <c r="C39" i="1"/>
  <c r="R38" i="1"/>
  <c r="C38" i="1"/>
  <c r="T37" i="1"/>
  <c r="R37" i="1"/>
  <c r="C37" i="1"/>
  <c r="R36" i="1"/>
  <c r="C36" i="1"/>
  <c r="R35" i="1"/>
  <c r="D35" i="1"/>
  <c r="C35" i="1"/>
  <c r="R34" i="1"/>
  <c r="C34" i="1"/>
  <c r="D34" i="1" s="1"/>
  <c r="R33" i="1"/>
  <c r="D33" i="1"/>
  <c r="C33" i="1"/>
  <c r="R32" i="1"/>
  <c r="C32" i="1"/>
  <c r="R31" i="1"/>
  <c r="D31" i="1"/>
  <c r="C31" i="1"/>
  <c r="R30" i="1"/>
  <c r="C30" i="1"/>
  <c r="D30" i="1" s="1"/>
  <c r="R29" i="1"/>
  <c r="D29" i="1"/>
  <c r="C29" i="1"/>
  <c r="R28" i="1"/>
  <c r="C28" i="1"/>
  <c r="R27" i="1"/>
  <c r="D27" i="1"/>
  <c r="C27" i="1"/>
  <c r="R26" i="1"/>
  <c r="C26" i="1"/>
  <c r="R25" i="1"/>
  <c r="C25" i="1"/>
  <c r="D25" i="1" s="1"/>
  <c r="R24" i="1"/>
  <c r="D24" i="1"/>
  <c r="C24" i="1"/>
  <c r="R23" i="1"/>
  <c r="D23" i="1"/>
  <c r="C23" i="1"/>
  <c r="R22" i="1"/>
  <c r="D22" i="1"/>
  <c r="C22" i="1"/>
  <c r="R21" i="1"/>
  <c r="C21" i="1"/>
  <c r="R20" i="1"/>
  <c r="D20" i="1"/>
  <c r="C20" i="1"/>
  <c r="R19" i="1"/>
  <c r="D19" i="1"/>
  <c r="C19" i="1"/>
  <c r="R18" i="1"/>
  <c r="D18" i="1"/>
  <c r="C18" i="1"/>
  <c r="R17" i="1"/>
  <c r="D17" i="1"/>
  <c r="R16" i="1"/>
  <c r="D16" i="1"/>
  <c r="R15" i="1"/>
  <c r="D15" i="1"/>
  <c r="R14" i="1"/>
  <c r="D14" i="1"/>
  <c r="R13" i="1"/>
  <c r="D13" i="1"/>
  <c r="R12" i="1"/>
  <c r="D12" i="1"/>
  <c r="R11" i="1"/>
  <c r="D11" i="1"/>
  <c r="R10" i="1"/>
  <c r="D10" i="1"/>
  <c r="R9" i="1"/>
  <c r="D9" i="1"/>
  <c r="R8" i="1"/>
  <c r="D8" i="1"/>
  <c r="R7" i="1"/>
  <c r="D7" i="1"/>
  <c r="R6" i="1"/>
  <c r="D6" i="1"/>
  <c r="R5" i="1"/>
  <c r="D5" i="1"/>
  <c r="R4" i="1"/>
  <c r="D4" i="1"/>
  <c r="R3" i="1"/>
  <c r="R50" i="1" s="1"/>
  <c r="H3" i="1"/>
  <c r="G3" i="1"/>
  <c r="F3" i="1"/>
  <c r="E3" i="1"/>
  <c r="E4" i="1" s="1"/>
  <c r="D3" i="1"/>
  <c r="I3" i="1" s="1"/>
  <c r="B3" i="1"/>
  <c r="N2" i="1"/>
  <c r="G2" i="1"/>
  <c r="H2" i="1" s="1"/>
  <c r="F2" i="1"/>
  <c r="D2" i="1"/>
  <c r="Q3" i="1" s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K3" i="1" l="1"/>
  <c r="L3" i="1" s="1"/>
  <c r="M3" i="1" s="1"/>
  <c r="J3" i="1"/>
  <c r="E5" i="1"/>
  <c r="G4" i="1"/>
  <c r="H4" i="1" s="1"/>
  <c r="B4" i="1"/>
  <c r="F4" i="1"/>
  <c r="I4" i="1" s="1"/>
  <c r="D46" i="1"/>
  <c r="I2" i="1"/>
  <c r="D21" i="1"/>
  <c r="T23" i="1"/>
  <c r="D32" i="1"/>
  <c r="D26" i="1"/>
  <c r="D38" i="1"/>
  <c r="D47" i="1"/>
  <c r="D28" i="1"/>
  <c r="D36" i="1"/>
  <c r="D48" i="1"/>
  <c r="T36" i="1"/>
  <c r="D37" i="1"/>
  <c r="T46" i="1"/>
  <c r="T47" i="1" s="1"/>
  <c r="D42" i="1"/>
  <c r="J4" i="1" l="1"/>
  <c r="K4" i="1"/>
  <c r="N3" i="1"/>
  <c r="J2" i="1"/>
  <c r="K2" i="1"/>
  <c r="L2" i="1" s="1"/>
  <c r="G5" i="1"/>
  <c r="H5" i="1" s="1"/>
  <c r="B5" i="1"/>
  <c r="F5" i="1"/>
  <c r="I5" i="1" s="1"/>
  <c r="E6" i="1"/>
  <c r="Q22" i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F6" i="1" l="1"/>
  <c r="B6" i="1"/>
  <c r="G6" i="1"/>
  <c r="H6" i="1" s="1"/>
  <c r="E7" i="1"/>
  <c r="K5" i="1"/>
  <c r="J5" i="1"/>
  <c r="L4" i="1"/>
  <c r="M4" i="1" s="1"/>
  <c r="N4" i="1" l="1"/>
  <c r="G7" i="1"/>
  <c r="H7" i="1" s="1"/>
  <c r="B7" i="1"/>
  <c r="E8" i="1"/>
  <c r="F7" i="1"/>
  <c r="I7" i="1" s="1"/>
  <c r="L5" i="1"/>
  <c r="I6" i="1"/>
  <c r="J6" i="1" l="1"/>
  <c r="K6" i="1"/>
  <c r="L6" i="1" s="1"/>
  <c r="J7" i="1"/>
  <c r="K7" i="1"/>
  <c r="L7" i="1" s="1"/>
  <c r="E9" i="1"/>
  <c r="G8" i="1"/>
  <c r="H8" i="1" s="1"/>
  <c r="B8" i="1"/>
  <c r="F8" i="1"/>
  <c r="I8" i="1" s="1"/>
  <c r="M5" i="1"/>
  <c r="K8" i="1" l="1"/>
  <c r="J8" i="1"/>
  <c r="N5" i="1"/>
  <c r="M6" i="1" s="1"/>
  <c r="N6" i="1" s="1"/>
  <c r="M7" i="1" s="1"/>
  <c r="N7" i="1" s="1"/>
  <c r="B9" i="1"/>
  <c r="G9" i="1"/>
  <c r="H9" i="1" s="1"/>
  <c r="E10" i="1"/>
  <c r="F9" i="1"/>
  <c r="I9" i="1" s="1"/>
  <c r="J9" i="1" l="1"/>
  <c r="K9" i="1"/>
  <c r="L9" i="1" s="1"/>
  <c r="E11" i="1"/>
  <c r="G10" i="1"/>
  <c r="H10" i="1" s="1"/>
  <c r="B10" i="1"/>
  <c r="F10" i="1"/>
  <c r="L8" i="1"/>
  <c r="M8" i="1" s="1"/>
  <c r="N8" i="1" l="1"/>
  <c r="M9" i="1" s="1"/>
  <c r="N9" i="1" s="1"/>
  <c r="F11" i="1"/>
  <c r="G11" i="1"/>
  <c r="H11" i="1" s="1"/>
  <c r="E12" i="1"/>
  <c r="B11" i="1"/>
  <c r="I10" i="1"/>
  <c r="K10" i="1" l="1"/>
  <c r="J10" i="1"/>
  <c r="I11" i="1"/>
  <c r="E13" i="1"/>
  <c r="G12" i="1"/>
  <c r="H12" i="1" s="1"/>
  <c r="B12" i="1"/>
  <c r="F12" i="1"/>
  <c r="I12" i="1" s="1"/>
  <c r="F13" i="1" l="1"/>
  <c r="E14" i="1"/>
  <c r="G13" i="1"/>
  <c r="H13" i="1" s="1"/>
  <c r="B13" i="1"/>
  <c r="K12" i="1"/>
  <c r="J12" i="1"/>
  <c r="J11" i="1"/>
  <c r="K11" i="1"/>
  <c r="L11" i="1" s="1"/>
  <c r="L10" i="1"/>
  <c r="M10" i="1" s="1"/>
  <c r="E15" i="1" l="1"/>
  <c r="G14" i="1"/>
  <c r="H14" i="1" s="1"/>
  <c r="B14" i="1"/>
  <c r="F14" i="1"/>
  <c r="I14" i="1" s="1"/>
  <c r="N10" i="1"/>
  <c r="M11" i="1" s="1"/>
  <c r="N11" i="1" s="1"/>
  <c r="L12" i="1"/>
  <c r="I13" i="1"/>
  <c r="K14" i="1" l="1"/>
  <c r="J14" i="1"/>
  <c r="J13" i="1"/>
  <c r="K13" i="1"/>
  <c r="L13" i="1" s="1"/>
  <c r="M12" i="1"/>
  <c r="N12" i="1" s="1"/>
  <c r="F15" i="1"/>
  <c r="I15" i="1" s="1"/>
  <c r="B15" i="1"/>
  <c r="E16" i="1"/>
  <c r="G15" i="1"/>
  <c r="H15" i="1" s="1"/>
  <c r="J15" i="1" l="1"/>
  <c r="K15" i="1"/>
  <c r="L15" i="1" s="1"/>
  <c r="E17" i="1"/>
  <c r="G16" i="1"/>
  <c r="H16" i="1" s="1"/>
  <c r="B16" i="1"/>
  <c r="F16" i="1"/>
  <c r="M13" i="1"/>
  <c r="N13" i="1" s="1"/>
  <c r="L14" i="1"/>
  <c r="M14" i="1" l="1"/>
  <c r="N14" i="1" s="1"/>
  <c r="M15" i="1" s="1"/>
  <c r="N15" i="1" s="1"/>
  <c r="F17" i="1"/>
  <c r="I17" i="1" s="1"/>
  <c r="E18" i="1"/>
  <c r="B17" i="1"/>
  <c r="G17" i="1"/>
  <c r="H17" i="1" s="1"/>
  <c r="I16" i="1"/>
  <c r="G18" i="1" l="1"/>
  <c r="H18" i="1" s="1"/>
  <c r="F18" i="1"/>
  <c r="I18" i="1" s="1"/>
  <c r="E19" i="1"/>
  <c r="B18" i="1"/>
  <c r="J17" i="1"/>
  <c r="K17" i="1"/>
  <c r="L17" i="1" s="1"/>
  <c r="K16" i="1"/>
  <c r="J16" i="1"/>
  <c r="L16" i="1" l="1"/>
  <c r="M16" i="1" s="1"/>
  <c r="N16" i="1" s="1"/>
  <c r="M17" i="1" s="1"/>
  <c r="N17" i="1" s="1"/>
  <c r="E20" i="1"/>
  <c r="G19" i="1"/>
  <c r="H19" i="1" s="1"/>
  <c r="F19" i="1"/>
  <c r="I19" i="1" s="1"/>
  <c r="B19" i="1"/>
  <c r="K18" i="1"/>
  <c r="L18" i="1" s="1"/>
  <c r="J18" i="1"/>
  <c r="K19" i="1" l="1"/>
  <c r="J19" i="1"/>
  <c r="E21" i="1"/>
  <c r="G20" i="1"/>
  <c r="H20" i="1" s="1"/>
  <c r="B20" i="1"/>
  <c r="F20" i="1"/>
  <c r="M18" i="1"/>
  <c r="N18" i="1" s="1"/>
  <c r="F21" i="1" l="1"/>
  <c r="E22" i="1"/>
  <c r="G21" i="1"/>
  <c r="H21" i="1" s="1"/>
  <c r="B21" i="1"/>
  <c r="I20" i="1"/>
  <c r="L19" i="1"/>
  <c r="M19" i="1" s="1"/>
  <c r="N19" i="1" s="1"/>
  <c r="G22" i="1" l="1"/>
  <c r="H22" i="1" s="1"/>
  <c r="F22" i="1"/>
  <c r="I22" i="1" s="1"/>
  <c r="E23" i="1"/>
  <c r="B22" i="1"/>
  <c r="K20" i="1"/>
  <c r="J20" i="1"/>
  <c r="I21" i="1"/>
  <c r="J21" i="1" l="1"/>
  <c r="K21" i="1"/>
  <c r="L21" i="1" s="1"/>
  <c r="G23" i="1"/>
  <c r="H23" i="1" s="1"/>
  <c r="F23" i="1"/>
  <c r="I23" i="1" s="1"/>
  <c r="E24" i="1"/>
  <c r="B23" i="1"/>
  <c r="K22" i="1"/>
  <c r="J22" i="1"/>
  <c r="L20" i="1"/>
  <c r="M20" i="1" s="1"/>
  <c r="N20" i="1" s="1"/>
  <c r="M21" i="1" s="1"/>
  <c r="N21" i="1" s="1"/>
  <c r="K23" i="1" l="1"/>
  <c r="J23" i="1"/>
  <c r="L22" i="1"/>
  <c r="M22" i="1" s="1"/>
  <c r="N22" i="1" s="1"/>
  <c r="E25" i="1"/>
  <c r="G24" i="1"/>
  <c r="H24" i="1" s="1"/>
  <c r="F24" i="1"/>
  <c r="B24" i="1"/>
  <c r="I24" i="1" l="1"/>
  <c r="G25" i="1"/>
  <c r="H25" i="1" s="1"/>
  <c r="F25" i="1"/>
  <c r="I25" i="1" s="1"/>
  <c r="E26" i="1"/>
  <c r="B25" i="1"/>
  <c r="L23" i="1"/>
  <c r="M23" i="1" s="1"/>
  <c r="N23" i="1" s="1"/>
  <c r="K25" i="1" l="1"/>
  <c r="L25" i="1" s="1"/>
  <c r="J25" i="1"/>
  <c r="K24" i="1"/>
  <c r="J24" i="1"/>
  <c r="E27" i="1"/>
  <c r="F26" i="1"/>
  <c r="G26" i="1"/>
  <c r="H26" i="1" s="1"/>
  <c r="B26" i="1"/>
  <c r="L24" i="1" l="1"/>
  <c r="M24" i="1" s="1"/>
  <c r="N24" i="1" s="1"/>
  <c r="M25" i="1" s="1"/>
  <c r="N25" i="1" s="1"/>
  <c r="I26" i="1"/>
  <c r="G27" i="1"/>
  <c r="H27" i="1" s="1"/>
  <c r="E28" i="1"/>
  <c r="B27" i="1"/>
  <c r="F27" i="1"/>
  <c r="I27" i="1" s="1"/>
  <c r="F28" i="1" l="1"/>
  <c r="E29" i="1"/>
  <c r="G28" i="1"/>
  <c r="H28" i="1" s="1"/>
  <c r="B28" i="1"/>
  <c r="K27" i="1"/>
  <c r="J27" i="1"/>
  <c r="J26" i="1"/>
  <c r="K26" i="1"/>
  <c r="L26" i="1" s="1"/>
  <c r="M26" i="1" s="1"/>
  <c r="N26" i="1" s="1"/>
  <c r="G29" i="1" l="1"/>
  <c r="H29" i="1" s="1"/>
  <c r="F29" i="1"/>
  <c r="I29" i="1" s="1"/>
  <c r="B29" i="1"/>
  <c r="E30" i="1"/>
  <c r="L27" i="1"/>
  <c r="M27" i="1" s="1"/>
  <c r="N27" i="1" s="1"/>
  <c r="I28" i="1"/>
  <c r="K29" i="1" l="1"/>
  <c r="L29" i="1" s="1"/>
  <c r="J29" i="1"/>
  <c r="J28" i="1"/>
  <c r="K28" i="1"/>
  <c r="E31" i="1"/>
  <c r="G30" i="1"/>
  <c r="H30" i="1" s="1"/>
  <c r="F30" i="1"/>
  <c r="I30" i="1" s="1"/>
  <c r="B30" i="1"/>
  <c r="K30" i="1" l="1"/>
  <c r="J30" i="1"/>
  <c r="E32" i="1"/>
  <c r="G31" i="1"/>
  <c r="H31" i="1" s="1"/>
  <c r="B31" i="1"/>
  <c r="F31" i="1"/>
  <c r="L28" i="1"/>
  <c r="M28" i="1" s="1"/>
  <c r="N28" i="1" s="1"/>
  <c r="M29" i="1" s="1"/>
  <c r="N29" i="1" s="1"/>
  <c r="F32" i="1" l="1"/>
  <c r="E33" i="1"/>
  <c r="G32" i="1"/>
  <c r="H32" i="1" s="1"/>
  <c r="B32" i="1"/>
  <c r="I31" i="1"/>
  <c r="L30" i="1"/>
  <c r="M30" i="1" s="1"/>
  <c r="N30" i="1" s="1"/>
  <c r="G33" i="1" l="1"/>
  <c r="H33" i="1" s="1"/>
  <c r="F33" i="1"/>
  <c r="B33" i="1"/>
  <c r="E34" i="1"/>
  <c r="K31" i="1"/>
  <c r="L31" i="1" s="1"/>
  <c r="M31" i="1" s="1"/>
  <c r="N31" i="1" s="1"/>
  <c r="J31" i="1"/>
  <c r="I32" i="1"/>
  <c r="J32" i="1" l="1"/>
  <c r="K32" i="1"/>
  <c r="E35" i="1"/>
  <c r="G34" i="1"/>
  <c r="H34" i="1" s="1"/>
  <c r="F34" i="1"/>
  <c r="I34" i="1" s="1"/>
  <c r="B34" i="1"/>
  <c r="I33" i="1"/>
  <c r="K33" i="1" l="1"/>
  <c r="L33" i="1" s="1"/>
  <c r="J33" i="1"/>
  <c r="L32" i="1"/>
  <c r="M32" i="1" s="1"/>
  <c r="N32" i="1" s="1"/>
  <c r="E36" i="1"/>
  <c r="G35" i="1"/>
  <c r="H35" i="1" s="1"/>
  <c r="B35" i="1"/>
  <c r="F35" i="1"/>
  <c r="K34" i="1"/>
  <c r="J34" i="1"/>
  <c r="F36" i="1" l="1"/>
  <c r="I36" i="1" s="1"/>
  <c r="E37" i="1"/>
  <c r="G36" i="1"/>
  <c r="H36" i="1" s="1"/>
  <c r="B36" i="1"/>
  <c r="L34" i="1"/>
  <c r="M33" i="1"/>
  <c r="N33" i="1" s="1"/>
  <c r="I35" i="1"/>
  <c r="K35" i="1" l="1"/>
  <c r="J35" i="1"/>
  <c r="M34" i="1"/>
  <c r="N34" i="1" s="1"/>
  <c r="F37" i="1"/>
  <c r="I37" i="1" s="1"/>
  <c r="E38" i="1"/>
  <c r="G37" i="1"/>
  <c r="H37" i="1" s="1"/>
  <c r="B37" i="1"/>
  <c r="J36" i="1"/>
  <c r="K36" i="1"/>
  <c r="J37" i="1" l="1"/>
  <c r="K37" i="1"/>
  <c r="L37" i="1" s="1"/>
  <c r="L36" i="1"/>
  <c r="F38" i="1"/>
  <c r="E39" i="1"/>
  <c r="G38" i="1"/>
  <c r="H38" i="1" s="1"/>
  <c r="B38" i="1"/>
  <c r="L35" i="1"/>
  <c r="M35" i="1" s="1"/>
  <c r="N35" i="1" s="1"/>
  <c r="M36" i="1" s="1"/>
  <c r="N36" i="1" s="1"/>
  <c r="M37" i="1" s="1"/>
  <c r="N37" i="1" s="1"/>
  <c r="G39" i="1" l="1"/>
  <c r="H39" i="1" s="1"/>
  <c r="F39" i="1"/>
  <c r="B39" i="1"/>
  <c r="E40" i="1"/>
  <c r="I38" i="1"/>
  <c r="I39" i="1" l="1"/>
  <c r="J38" i="1"/>
  <c r="K38" i="1"/>
  <c r="E41" i="1"/>
  <c r="G40" i="1"/>
  <c r="H40" i="1" s="1"/>
  <c r="F40" i="1"/>
  <c r="I40" i="1" s="1"/>
  <c r="B40" i="1"/>
  <c r="E42" i="1" l="1"/>
  <c r="G41" i="1"/>
  <c r="H41" i="1" s="1"/>
  <c r="F41" i="1"/>
  <c r="I41" i="1" s="1"/>
  <c r="B41" i="1"/>
  <c r="L38" i="1"/>
  <c r="M38" i="1" s="1"/>
  <c r="N38" i="1" s="1"/>
  <c r="K40" i="1"/>
  <c r="J40" i="1"/>
  <c r="K39" i="1"/>
  <c r="J39" i="1"/>
  <c r="L39" i="1" l="1"/>
  <c r="K41" i="1"/>
  <c r="J41" i="1"/>
  <c r="L40" i="1"/>
  <c r="M39" i="1"/>
  <c r="N39" i="1" s="1"/>
  <c r="M40" i="1" s="1"/>
  <c r="N40" i="1" s="1"/>
  <c r="F42" i="1"/>
  <c r="E43" i="1"/>
  <c r="G42" i="1"/>
  <c r="H42" i="1" s="1"/>
  <c r="B42" i="1"/>
  <c r="G43" i="1" l="1"/>
  <c r="H43" i="1" s="1"/>
  <c r="F43" i="1"/>
  <c r="I43" i="1" s="1"/>
  <c r="B43" i="1"/>
  <c r="E44" i="1"/>
  <c r="I42" i="1"/>
  <c r="L41" i="1"/>
  <c r="M41" i="1"/>
  <c r="N41" i="1" s="1"/>
  <c r="E45" i="1" l="1"/>
  <c r="G44" i="1"/>
  <c r="H44" i="1" s="1"/>
  <c r="F44" i="1"/>
  <c r="I44" i="1" s="1"/>
  <c r="B44" i="1"/>
  <c r="K43" i="1"/>
  <c r="J43" i="1"/>
  <c r="J42" i="1"/>
  <c r="K42" i="1"/>
  <c r="K44" i="1" l="1"/>
  <c r="L44" i="1" s="1"/>
  <c r="J44" i="1"/>
  <c r="L43" i="1"/>
  <c r="L42" i="1"/>
  <c r="M42" i="1" s="1"/>
  <c r="N42" i="1" s="1"/>
  <c r="M43" i="1" s="1"/>
  <c r="N43" i="1" s="1"/>
  <c r="M44" i="1" s="1"/>
  <c r="N44" i="1" s="1"/>
  <c r="E46" i="1"/>
  <c r="G45" i="1"/>
  <c r="H45" i="1" s="1"/>
  <c r="B45" i="1"/>
  <c r="F45" i="1"/>
  <c r="I45" i="1" s="1"/>
  <c r="K45" i="1" l="1"/>
  <c r="L45" i="1" s="1"/>
  <c r="M45" i="1" s="1"/>
  <c r="N45" i="1" s="1"/>
  <c r="J45" i="1"/>
  <c r="F46" i="1"/>
  <c r="I46" i="1" s="1"/>
  <c r="E47" i="1"/>
  <c r="G46" i="1"/>
  <c r="H46" i="1" s="1"/>
  <c r="B46" i="1"/>
  <c r="J46" i="1" l="1"/>
  <c r="K46" i="1"/>
  <c r="F47" i="1"/>
  <c r="I47" i="1" s="1"/>
  <c r="E48" i="1"/>
  <c r="G47" i="1"/>
  <c r="H47" i="1" s="1"/>
  <c r="B47" i="1"/>
  <c r="J47" i="1" l="1"/>
  <c r="K47" i="1"/>
  <c r="L46" i="1"/>
  <c r="M46" i="1" s="1"/>
  <c r="N46" i="1" s="1"/>
  <c r="F48" i="1"/>
  <c r="I48" i="1" s="1"/>
  <c r="E49" i="1"/>
  <c r="G48" i="1"/>
  <c r="H48" i="1" s="1"/>
  <c r="B48" i="1"/>
  <c r="J48" i="1" l="1"/>
  <c r="K48" i="1"/>
  <c r="G49" i="1"/>
  <c r="H49" i="1" s="1"/>
  <c r="F49" i="1"/>
  <c r="I49" i="1" s="1"/>
  <c r="B49" i="1"/>
  <c r="L47" i="1"/>
  <c r="M47" i="1" s="1"/>
  <c r="N47" i="1" s="1"/>
  <c r="K49" i="1" l="1"/>
  <c r="J49" i="1"/>
  <c r="L48" i="1"/>
  <c r="M48" i="1" s="1"/>
  <c r="N48" i="1" s="1"/>
  <c r="L49" i="1" l="1"/>
  <c r="M49" i="1" s="1"/>
  <c r="N49" i="1" l="1"/>
  <c r="M50" i="1"/>
</calcChain>
</file>

<file path=xl/sharedStrings.xml><?xml version="1.0" encoding="utf-8"?>
<sst xmlns="http://schemas.openxmlformats.org/spreadsheetml/2006/main" count="49" uniqueCount="48">
  <si>
    <t>MONTH</t>
  </si>
  <si>
    <t>INVEST AMOUNT</t>
  </si>
  <si>
    <t xml:space="preserve">MAIN ID </t>
  </si>
  <si>
    <t>UX ROI 9% 30 days</t>
  </si>
  <si>
    <t>SUB ID'S AMOUNT</t>
  </si>
  <si>
    <t>SUB ID'S ROI 9%</t>
  </si>
  <si>
    <t>AFFILIATED TOTAL</t>
  </si>
  <si>
    <t>AFF ROI 9%</t>
  </si>
  <si>
    <t>TOTAL ROI</t>
  </si>
  <si>
    <t>50% USDX</t>
  </si>
  <si>
    <t>50% DAI &amp; 0.7 $</t>
  </si>
  <si>
    <t>TTL ROI</t>
  </si>
  <si>
    <t>G.TTL ROI</t>
  </si>
  <si>
    <t>RE-STAKE BAL</t>
  </si>
  <si>
    <t>NEW ID'S</t>
  </si>
  <si>
    <t>NO OF ID'S</t>
  </si>
  <si>
    <t>WITHDRAW LIMIT</t>
  </si>
  <si>
    <t>SPOT INCOME</t>
  </si>
  <si>
    <t>REMARK</t>
  </si>
  <si>
    <t>1500 TOPUP</t>
  </si>
  <si>
    <t>14,15</t>
  </si>
  <si>
    <t>2000 TOPUP</t>
  </si>
  <si>
    <t>17,18</t>
  </si>
  <si>
    <t>19,20</t>
  </si>
  <si>
    <t>21,22,23</t>
  </si>
  <si>
    <t>24,25</t>
  </si>
  <si>
    <t>26,27,28</t>
  </si>
  <si>
    <t>29,30,31</t>
  </si>
  <si>
    <t>32,33,34</t>
  </si>
  <si>
    <t>35,36,37</t>
  </si>
  <si>
    <t>38 TO 41</t>
  </si>
  <si>
    <t>42,43</t>
  </si>
  <si>
    <t>3000 TOPUP</t>
  </si>
  <si>
    <t>44 TO 47</t>
  </si>
  <si>
    <t>48 TO 52</t>
  </si>
  <si>
    <t xml:space="preserve">TTL </t>
  </si>
  <si>
    <t>TTL ID'S</t>
  </si>
  <si>
    <t>SPOT TTL</t>
  </si>
  <si>
    <t>NOTE :</t>
  </si>
  <si>
    <t xml:space="preserve">PREPARED BY </t>
  </si>
  <si>
    <t>1) INVESTMENT AMOUNT IS 106000 ONLY,</t>
  </si>
  <si>
    <t xml:space="preserve">T.ARULSABARISH </t>
  </si>
  <si>
    <t>2) NOT REQUIRED ANY MORE AMOUNT TO INVEST</t>
  </si>
  <si>
    <t>3) DON’T TAKE ANY AMOUNT IN BETWEEN PROGRESS</t>
  </si>
  <si>
    <t>4) CALCULATION TAKEN TO SELL USDX COIN AT 0.70 DOLLER PRICE, IF MORE THEN A PRICE, RETURN AMOUNT WILL INCREASE</t>
  </si>
  <si>
    <t>5) CALCULATION TAKEN ONLY PLACED DIRECT ID'S, IF YOU PUT 2ND LEVEL AND MORE, RETURN AMOUNT WILL INCREASE</t>
  </si>
  <si>
    <t>6) AFTER 4 YEAR'S YOU WILL GET MINIMUM RS 2,50,000 PER MONTH, UP TO NEXT 22 MONTH</t>
  </si>
  <si>
    <t>7) FINANCIAL DISIPLIN IS VERY IMPORTAN TO CREAT A BIG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</si>
</sst>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 vertical="center"/>
    </xf>
    <xf numFmtId="1" fontId="2" fillId="4" borderId="4" xfId="0" applyNumberFormat="1" applyFont="1" applyFill="1" applyBorder="1" applyAlignment="1">
      <alignment vertical="center"/>
    </xf>
    <xf numFmtId="2" fontId="0" fillId="3" borderId="0" xfId="0" applyNumberFormat="1" applyFill="1" applyBorder="1" applyAlignment="1">
      <alignment horizontal="center" vertical="center"/>
    </xf>
    <xf numFmtId="0" fontId="0" fillId="3" borderId="0" xfId="0" applyFill="1" applyBorder="1"/>
    <xf numFmtId="0" fontId="2" fillId="4" borderId="6" xfId="0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1" fontId="2" fillId="4" borderId="6" xfId="0" applyNumberFormat="1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2" fillId="5" borderId="4" xfId="0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2" fontId="2" fillId="5" borderId="4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/>
    </xf>
    <xf numFmtId="1" fontId="2" fillId="5" borderId="7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1" fontId="2" fillId="6" borderId="6" xfId="0" applyNumberFormat="1" applyFont="1" applyFill="1" applyBorder="1" applyAlignment="1">
      <alignment horizontal="center" vertical="center"/>
    </xf>
    <xf numFmtId="2" fontId="2" fillId="6" borderId="4" xfId="0" applyNumberFormat="1" applyFont="1" applyFill="1" applyBorder="1" applyAlignment="1">
      <alignment horizontal="center" vertical="center"/>
    </xf>
    <xf numFmtId="1" fontId="2" fillId="6" borderId="7" xfId="0" applyNumberFormat="1" applyFont="1" applyFill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2" fontId="2" fillId="7" borderId="4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  <xf numFmtId="1" fontId="2" fillId="7" borderId="4" xfId="0" applyNumberFormat="1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2" fontId="2" fillId="8" borderId="4" xfId="0" applyNumberFormat="1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1" fontId="2" fillId="8" borderId="4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/>
    </xf>
    <xf numFmtId="1" fontId="2" fillId="9" borderId="6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0" borderId="0" xfId="0" applyBorder="1"/>
    <xf numFmtId="2" fontId="0" fillId="0" borderId="0" xfId="0" applyNumberFormat="1" applyBorder="1"/>
    <xf numFmtId="0" fontId="0" fillId="0" borderId="0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/>
    <xf numFmtId="2" fontId="5" fillId="0" borderId="9" xfId="0" applyNumberFormat="1" applyFont="1" applyBorder="1"/>
    <xf numFmtId="0" fontId="5" fillId="0" borderId="9" xfId="0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1" xfId="0" applyFont="1" applyBorder="1"/>
    <xf numFmtId="0" fontId="5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2" fontId="0" fillId="0" borderId="0" xfId="0" applyNumberFormat="1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6"/>
  <sheetViews>
    <sheetView tabSelected="1" zoomScale="85" zoomScaleNormal="85" workbookViewId="0">
      <pane ySplit="1" topLeftCell="A41" activePane="bottomLeft" state="frozen"/>
      <selection pane="bottomLeft" activeCell="N61" sqref="N61"/>
    </sheetView>
  </sheetViews>
  <sheetFormatPr defaultRowHeight="15" x14ac:dyDescent="0.25"/>
  <cols>
    <col min="1" max="1" width="9.85546875" customWidth="1"/>
    <col min="2" max="2" width="9.140625" customWidth="1"/>
    <col min="3" max="3" width="7.5703125" customWidth="1"/>
    <col min="4" max="4" width="9.28515625" customWidth="1"/>
    <col min="5" max="5" width="11.7109375" customWidth="1"/>
    <col min="6" max="6" width="9.5703125" customWidth="1"/>
    <col min="7" max="7" width="10.140625" customWidth="1"/>
    <col min="8" max="8" width="8.85546875" style="77" customWidth="1"/>
    <col min="9" max="10" width="8.140625" customWidth="1"/>
    <col min="11" max="11" width="8" customWidth="1"/>
    <col min="12" max="12" width="7.42578125" style="10" customWidth="1"/>
    <col min="13" max="13" width="8" style="10" customWidth="1"/>
    <col min="14" max="14" width="9.140625" style="78"/>
    <col min="15" max="15" width="8.42578125" style="10" customWidth="1"/>
    <col min="16" max="16" width="9.85546875" style="10" customWidth="1"/>
    <col min="17" max="17" width="12.85546875" customWidth="1"/>
    <col min="18" max="18" width="11.7109375" style="10" customWidth="1"/>
    <col min="19" max="19" width="12" customWidth="1"/>
    <col min="20" max="20" width="11.85546875" customWidth="1"/>
  </cols>
  <sheetData>
    <row r="1" spans="1:26" s="10" customFormat="1" ht="7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5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6" t="s">
        <v>18</v>
      </c>
      <c r="T1" s="7"/>
      <c r="U1" s="8"/>
      <c r="V1" s="8"/>
      <c r="W1" s="9"/>
      <c r="X1" s="8"/>
      <c r="Y1" s="8"/>
      <c r="Z1" s="8"/>
    </row>
    <row r="2" spans="1:26" x14ac:dyDescent="0.25">
      <c r="A2" s="11">
        <v>1</v>
      </c>
      <c r="B2" s="12">
        <v>1000</v>
      </c>
      <c r="C2" s="12">
        <v>1000</v>
      </c>
      <c r="D2" s="12">
        <f>C2*9%</f>
        <v>90</v>
      </c>
      <c r="E2" s="12">
        <v>0</v>
      </c>
      <c r="F2" s="12">
        <f>E2*9%</f>
        <v>0</v>
      </c>
      <c r="G2" s="12">
        <f>E2*10%</f>
        <v>0</v>
      </c>
      <c r="H2" s="13">
        <f>G2*9%</f>
        <v>0</v>
      </c>
      <c r="I2" s="12">
        <f>D2+F2+H2</f>
        <v>90</v>
      </c>
      <c r="J2" s="12">
        <f>+I2*41.25%</f>
        <v>37.125</v>
      </c>
      <c r="K2" s="12">
        <f>+(I2*29.375%)*2</f>
        <v>52.875</v>
      </c>
      <c r="L2" s="12">
        <f>+(K2*0.7)+J2</f>
        <v>74.137499999999989</v>
      </c>
      <c r="M2" s="12">
        <v>74</v>
      </c>
      <c r="N2" s="12">
        <f t="shared" ref="N2:N49" si="0">+M2-O2</f>
        <v>74</v>
      </c>
      <c r="O2" s="12">
        <v>0</v>
      </c>
      <c r="P2" s="12">
        <v>0</v>
      </c>
      <c r="Q2" s="14">
        <v>2000</v>
      </c>
      <c r="R2" s="15">
        <v>0</v>
      </c>
      <c r="S2" s="16"/>
      <c r="T2" s="16"/>
      <c r="U2" s="8"/>
      <c r="V2" s="17"/>
      <c r="W2" s="8"/>
      <c r="X2" s="18"/>
      <c r="Y2" s="18"/>
      <c r="Z2" s="18"/>
    </row>
    <row r="3" spans="1:26" x14ac:dyDescent="0.25">
      <c r="A3" s="19">
        <v>2</v>
      </c>
      <c r="B3" s="12">
        <f t="shared" ref="B3:B49" si="1">C3+E3</f>
        <v>1000</v>
      </c>
      <c r="C3" s="12">
        <v>1000</v>
      </c>
      <c r="D3" s="12">
        <f t="shared" ref="D3:D49" si="2">C3*9%</f>
        <v>90</v>
      </c>
      <c r="E3" s="20">
        <f>E2+O2</f>
        <v>0</v>
      </c>
      <c r="F3" s="12">
        <f t="shared" ref="F3:F50" si="3">E3*9%</f>
        <v>0</v>
      </c>
      <c r="G3" s="12">
        <f t="shared" ref="G3:G50" si="4">E3*10%</f>
        <v>0</v>
      </c>
      <c r="H3" s="13">
        <f t="shared" ref="H3:H50" si="5">G3*9%</f>
        <v>0</v>
      </c>
      <c r="I3" s="12">
        <f t="shared" ref="I3:I49" si="6">D3+F3+H3</f>
        <v>90</v>
      </c>
      <c r="J3" s="12">
        <f t="shared" ref="J3:J49" si="7">+I3*41.25%</f>
        <v>37.125</v>
      </c>
      <c r="K3" s="12">
        <f t="shared" ref="K3:K49" si="8">+(I3*29.375%)*2</f>
        <v>52.875</v>
      </c>
      <c r="L3" s="12">
        <f t="shared" ref="L3:L49" si="9">+(K3*0.7)+J3</f>
        <v>74.137499999999989</v>
      </c>
      <c r="M3" s="12">
        <f>+N2+L3</f>
        <v>148.13749999999999</v>
      </c>
      <c r="N3" s="12">
        <f t="shared" si="0"/>
        <v>148.13749999999999</v>
      </c>
      <c r="O3" s="20">
        <v>0</v>
      </c>
      <c r="P3" s="20">
        <v>0</v>
      </c>
      <c r="Q3" s="14">
        <f t="shared" ref="Q3:Q17" si="10">Q2-D2</f>
        <v>1910</v>
      </c>
      <c r="R3" s="21">
        <f>O3*20%</f>
        <v>0</v>
      </c>
      <c r="S3" s="22"/>
      <c r="T3" s="22"/>
      <c r="U3" s="8"/>
      <c r="V3" s="8"/>
      <c r="W3" s="8"/>
      <c r="X3" s="8"/>
      <c r="Y3" s="8"/>
      <c r="Z3" s="8"/>
    </row>
    <row r="4" spans="1:26" x14ac:dyDescent="0.25">
      <c r="A4" s="19">
        <v>3</v>
      </c>
      <c r="B4" s="12">
        <f t="shared" si="1"/>
        <v>1000</v>
      </c>
      <c r="C4" s="12">
        <v>1000</v>
      </c>
      <c r="D4" s="12">
        <f t="shared" si="2"/>
        <v>90</v>
      </c>
      <c r="E4" s="20">
        <f>E3+O3</f>
        <v>0</v>
      </c>
      <c r="F4" s="12">
        <f t="shared" si="3"/>
        <v>0</v>
      </c>
      <c r="G4" s="12">
        <f t="shared" si="4"/>
        <v>0</v>
      </c>
      <c r="H4" s="13">
        <f t="shared" si="5"/>
        <v>0</v>
      </c>
      <c r="I4" s="12">
        <f t="shared" si="6"/>
        <v>90</v>
      </c>
      <c r="J4" s="12">
        <f t="shared" si="7"/>
        <v>37.125</v>
      </c>
      <c r="K4" s="12">
        <f t="shared" si="8"/>
        <v>52.875</v>
      </c>
      <c r="L4" s="12">
        <f t="shared" si="9"/>
        <v>74.137499999999989</v>
      </c>
      <c r="M4" s="12">
        <f t="shared" ref="M4:M49" si="11">+N3+L4</f>
        <v>222.27499999999998</v>
      </c>
      <c r="N4" s="12">
        <f t="shared" si="0"/>
        <v>222.27499999999998</v>
      </c>
      <c r="O4" s="20">
        <v>0</v>
      </c>
      <c r="P4" s="20">
        <v>0</v>
      </c>
      <c r="Q4" s="14">
        <f t="shared" si="10"/>
        <v>1820</v>
      </c>
      <c r="R4" s="21">
        <f t="shared" ref="R4:R49" si="12">O4*20%</f>
        <v>0</v>
      </c>
      <c r="S4" s="22"/>
      <c r="T4" s="22"/>
      <c r="U4" s="18"/>
      <c r="V4" s="18"/>
      <c r="W4" s="18"/>
      <c r="X4" s="18"/>
      <c r="Y4" s="18"/>
      <c r="Z4" s="18"/>
    </row>
    <row r="5" spans="1:26" ht="15.75" x14ac:dyDescent="0.25">
      <c r="A5" s="19">
        <v>4</v>
      </c>
      <c r="B5" s="12">
        <f t="shared" si="1"/>
        <v>1000</v>
      </c>
      <c r="C5" s="12">
        <v>1000</v>
      </c>
      <c r="D5" s="12">
        <f t="shared" si="2"/>
        <v>90</v>
      </c>
      <c r="E5" s="20">
        <f t="shared" ref="E5:E49" si="13">E4+O4</f>
        <v>0</v>
      </c>
      <c r="F5" s="12">
        <f t="shared" si="3"/>
        <v>0</v>
      </c>
      <c r="G5" s="12">
        <f t="shared" si="4"/>
        <v>0</v>
      </c>
      <c r="H5" s="13">
        <f t="shared" si="5"/>
        <v>0</v>
      </c>
      <c r="I5" s="12">
        <f t="shared" si="6"/>
        <v>90</v>
      </c>
      <c r="J5" s="12">
        <f t="shared" si="7"/>
        <v>37.125</v>
      </c>
      <c r="K5" s="12">
        <f t="shared" si="8"/>
        <v>52.875</v>
      </c>
      <c r="L5" s="12">
        <f t="shared" si="9"/>
        <v>74.137499999999989</v>
      </c>
      <c r="M5" s="12">
        <f t="shared" si="11"/>
        <v>296.41249999999997</v>
      </c>
      <c r="N5" s="12">
        <f t="shared" si="0"/>
        <v>296.41249999999997</v>
      </c>
      <c r="O5" s="20">
        <v>0</v>
      </c>
      <c r="P5" s="20">
        <v>0</v>
      </c>
      <c r="Q5" s="14">
        <f t="shared" si="10"/>
        <v>1730</v>
      </c>
      <c r="R5" s="21">
        <f t="shared" si="12"/>
        <v>0</v>
      </c>
      <c r="S5" s="22"/>
      <c r="T5" s="22"/>
      <c r="U5" s="18"/>
      <c r="V5" s="23"/>
      <c r="W5" s="18"/>
      <c r="X5" s="18"/>
      <c r="Y5" s="18"/>
      <c r="Z5" s="18"/>
    </row>
    <row r="6" spans="1:26" ht="15.75" x14ac:dyDescent="0.25">
      <c r="A6" s="11">
        <v>5</v>
      </c>
      <c r="B6" s="12">
        <f t="shared" si="1"/>
        <v>1000</v>
      </c>
      <c r="C6" s="12">
        <v>1000</v>
      </c>
      <c r="D6" s="12">
        <f t="shared" si="2"/>
        <v>90</v>
      </c>
      <c r="E6" s="20">
        <f t="shared" si="13"/>
        <v>0</v>
      </c>
      <c r="F6" s="12">
        <f t="shared" si="3"/>
        <v>0</v>
      </c>
      <c r="G6" s="12">
        <f t="shared" si="4"/>
        <v>0</v>
      </c>
      <c r="H6" s="13">
        <f t="shared" si="5"/>
        <v>0</v>
      </c>
      <c r="I6" s="12">
        <f t="shared" si="6"/>
        <v>90</v>
      </c>
      <c r="J6" s="12">
        <f t="shared" si="7"/>
        <v>37.125</v>
      </c>
      <c r="K6" s="12">
        <f t="shared" si="8"/>
        <v>52.875</v>
      </c>
      <c r="L6" s="12">
        <f t="shared" si="9"/>
        <v>74.137499999999989</v>
      </c>
      <c r="M6" s="12">
        <f t="shared" si="11"/>
        <v>370.54999999999995</v>
      </c>
      <c r="N6" s="12">
        <f t="shared" si="0"/>
        <v>370.54999999999995</v>
      </c>
      <c r="O6" s="20">
        <v>0</v>
      </c>
      <c r="P6" s="20">
        <v>0</v>
      </c>
      <c r="Q6" s="14">
        <f t="shared" si="10"/>
        <v>1640</v>
      </c>
      <c r="R6" s="21">
        <f t="shared" si="12"/>
        <v>0</v>
      </c>
      <c r="S6" s="22"/>
      <c r="T6" s="22"/>
      <c r="U6" s="18"/>
      <c r="V6" s="23"/>
      <c r="W6" s="18"/>
      <c r="X6" s="18"/>
      <c r="Y6" s="18"/>
      <c r="Z6" s="18"/>
    </row>
    <row r="7" spans="1:26" ht="15.75" x14ac:dyDescent="0.25">
      <c r="A7" s="19">
        <v>6</v>
      </c>
      <c r="B7" s="12">
        <f t="shared" si="1"/>
        <v>1000</v>
      </c>
      <c r="C7" s="12">
        <v>1000</v>
      </c>
      <c r="D7" s="12">
        <f t="shared" si="2"/>
        <v>90</v>
      </c>
      <c r="E7" s="20">
        <f t="shared" si="13"/>
        <v>0</v>
      </c>
      <c r="F7" s="12">
        <f t="shared" si="3"/>
        <v>0</v>
      </c>
      <c r="G7" s="12">
        <f t="shared" si="4"/>
        <v>0</v>
      </c>
      <c r="H7" s="13">
        <f t="shared" si="5"/>
        <v>0</v>
      </c>
      <c r="I7" s="12">
        <f t="shared" si="6"/>
        <v>90</v>
      </c>
      <c r="J7" s="12">
        <f t="shared" si="7"/>
        <v>37.125</v>
      </c>
      <c r="K7" s="12">
        <f t="shared" si="8"/>
        <v>52.875</v>
      </c>
      <c r="L7" s="12">
        <f t="shared" si="9"/>
        <v>74.137499999999989</v>
      </c>
      <c r="M7" s="12">
        <f t="shared" si="11"/>
        <v>444.68749999999994</v>
      </c>
      <c r="N7" s="12">
        <f t="shared" si="0"/>
        <v>444.68749999999994</v>
      </c>
      <c r="O7" s="20">
        <v>0</v>
      </c>
      <c r="P7" s="20">
        <v>0</v>
      </c>
      <c r="Q7" s="14">
        <f t="shared" si="10"/>
        <v>1550</v>
      </c>
      <c r="R7" s="21">
        <f t="shared" si="12"/>
        <v>0</v>
      </c>
      <c r="S7" s="22"/>
      <c r="T7" s="22"/>
      <c r="U7" s="18"/>
      <c r="V7" s="23"/>
      <c r="W7" s="18"/>
      <c r="X7" s="18"/>
      <c r="Y7" s="18"/>
      <c r="Z7" s="18"/>
    </row>
    <row r="8" spans="1:26" ht="15.75" x14ac:dyDescent="0.25">
      <c r="A8" s="19">
        <v>7</v>
      </c>
      <c r="B8" s="12">
        <f t="shared" si="1"/>
        <v>1000</v>
      </c>
      <c r="C8" s="12">
        <v>1000</v>
      </c>
      <c r="D8" s="12">
        <f t="shared" si="2"/>
        <v>90</v>
      </c>
      <c r="E8" s="20">
        <f t="shared" si="13"/>
        <v>0</v>
      </c>
      <c r="F8" s="12">
        <f t="shared" si="3"/>
        <v>0</v>
      </c>
      <c r="G8" s="12">
        <f t="shared" si="4"/>
        <v>0</v>
      </c>
      <c r="H8" s="13">
        <f t="shared" si="5"/>
        <v>0</v>
      </c>
      <c r="I8" s="12">
        <f t="shared" si="6"/>
        <v>90</v>
      </c>
      <c r="J8" s="12">
        <f t="shared" si="7"/>
        <v>37.125</v>
      </c>
      <c r="K8" s="12">
        <f t="shared" si="8"/>
        <v>52.875</v>
      </c>
      <c r="L8" s="12">
        <f t="shared" si="9"/>
        <v>74.137499999999989</v>
      </c>
      <c r="M8" s="12">
        <f t="shared" si="11"/>
        <v>518.82499999999993</v>
      </c>
      <c r="N8" s="12">
        <f t="shared" si="0"/>
        <v>18.824999999999932</v>
      </c>
      <c r="O8" s="20">
        <v>500</v>
      </c>
      <c r="P8" s="20">
        <v>1</v>
      </c>
      <c r="Q8" s="14">
        <f t="shared" si="10"/>
        <v>1460</v>
      </c>
      <c r="R8" s="21">
        <f t="shared" si="12"/>
        <v>100</v>
      </c>
      <c r="S8" s="22"/>
      <c r="T8" s="22"/>
      <c r="U8" s="18"/>
      <c r="V8" s="23"/>
      <c r="W8" s="18"/>
      <c r="X8" s="18"/>
      <c r="Y8" s="18"/>
      <c r="Z8" s="18"/>
    </row>
    <row r="9" spans="1:26" ht="15.75" x14ac:dyDescent="0.25">
      <c r="A9" s="19">
        <v>8</v>
      </c>
      <c r="B9" s="12">
        <f t="shared" si="1"/>
        <v>1500</v>
      </c>
      <c r="C9" s="12">
        <v>1000</v>
      </c>
      <c r="D9" s="12">
        <f t="shared" si="2"/>
        <v>90</v>
      </c>
      <c r="E9" s="20">
        <f t="shared" si="13"/>
        <v>500</v>
      </c>
      <c r="F9" s="12">
        <f t="shared" si="3"/>
        <v>45</v>
      </c>
      <c r="G9" s="12">
        <f t="shared" si="4"/>
        <v>50</v>
      </c>
      <c r="H9" s="13">
        <f t="shared" si="5"/>
        <v>4.5</v>
      </c>
      <c r="I9" s="12">
        <f t="shared" si="6"/>
        <v>139.5</v>
      </c>
      <c r="J9" s="12">
        <f t="shared" si="7"/>
        <v>57.543749999999996</v>
      </c>
      <c r="K9" s="12">
        <f t="shared" si="8"/>
        <v>81.956249999999997</v>
      </c>
      <c r="L9" s="12">
        <f t="shared" si="9"/>
        <v>114.91312499999998</v>
      </c>
      <c r="M9" s="12">
        <f t="shared" si="11"/>
        <v>133.73812499999991</v>
      </c>
      <c r="N9" s="12">
        <f t="shared" si="0"/>
        <v>133.73812499999991</v>
      </c>
      <c r="O9" s="20">
        <v>0</v>
      </c>
      <c r="P9" s="20">
        <v>0</v>
      </c>
      <c r="Q9" s="14">
        <f t="shared" si="10"/>
        <v>1370</v>
      </c>
      <c r="R9" s="21">
        <f t="shared" si="12"/>
        <v>0</v>
      </c>
      <c r="S9" s="22"/>
      <c r="T9" s="22"/>
      <c r="U9" s="18"/>
      <c r="V9" s="23"/>
      <c r="W9" s="18"/>
      <c r="X9" s="18"/>
      <c r="Y9" s="18"/>
      <c r="Z9" s="18"/>
    </row>
    <row r="10" spans="1:26" ht="15.75" x14ac:dyDescent="0.25">
      <c r="A10" s="11">
        <v>9</v>
      </c>
      <c r="B10" s="12">
        <f t="shared" si="1"/>
        <v>1500</v>
      </c>
      <c r="C10" s="12">
        <v>1000</v>
      </c>
      <c r="D10" s="12">
        <f t="shared" si="2"/>
        <v>90</v>
      </c>
      <c r="E10" s="20">
        <f t="shared" si="13"/>
        <v>500</v>
      </c>
      <c r="F10" s="12">
        <f t="shared" si="3"/>
        <v>45</v>
      </c>
      <c r="G10" s="12">
        <f t="shared" si="4"/>
        <v>50</v>
      </c>
      <c r="H10" s="13">
        <f t="shared" si="5"/>
        <v>4.5</v>
      </c>
      <c r="I10" s="12">
        <f t="shared" si="6"/>
        <v>139.5</v>
      </c>
      <c r="J10" s="12">
        <f t="shared" si="7"/>
        <v>57.543749999999996</v>
      </c>
      <c r="K10" s="12">
        <f t="shared" si="8"/>
        <v>81.956249999999997</v>
      </c>
      <c r="L10" s="12">
        <f t="shared" si="9"/>
        <v>114.91312499999998</v>
      </c>
      <c r="M10" s="12">
        <f t="shared" si="11"/>
        <v>248.65124999999989</v>
      </c>
      <c r="N10" s="12">
        <f t="shared" si="0"/>
        <v>248.65124999999989</v>
      </c>
      <c r="O10" s="20">
        <v>0</v>
      </c>
      <c r="P10" s="20">
        <v>0</v>
      </c>
      <c r="Q10" s="14">
        <f t="shared" si="10"/>
        <v>1280</v>
      </c>
      <c r="R10" s="21">
        <f t="shared" si="12"/>
        <v>0</v>
      </c>
      <c r="S10" s="22"/>
      <c r="T10" s="22"/>
      <c r="U10" s="18"/>
      <c r="V10" s="23"/>
      <c r="W10" s="18"/>
      <c r="X10" s="18"/>
      <c r="Y10" s="18"/>
      <c r="Z10" s="18"/>
    </row>
    <row r="11" spans="1:26" ht="15.75" x14ac:dyDescent="0.25">
      <c r="A11" s="19">
        <v>10</v>
      </c>
      <c r="B11" s="12">
        <f t="shared" si="1"/>
        <v>1500</v>
      </c>
      <c r="C11" s="12">
        <v>1000</v>
      </c>
      <c r="D11" s="12">
        <f t="shared" si="2"/>
        <v>90</v>
      </c>
      <c r="E11" s="20">
        <f t="shared" si="13"/>
        <v>500</v>
      </c>
      <c r="F11" s="12">
        <f t="shared" si="3"/>
        <v>45</v>
      </c>
      <c r="G11" s="12">
        <f t="shared" si="4"/>
        <v>50</v>
      </c>
      <c r="H11" s="13">
        <f t="shared" si="5"/>
        <v>4.5</v>
      </c>
      <c r="I11" s="12">
        <f t="shared" si="6"/>
        <v>139.5</v>
      </c>
      <c r="J11" s="12">
        <f t="shared" si="7"/>
        <v>57.543749999999996</v>
      </c>
      <c r="K11" s="12">
        <f t="shared" si="8"/>
        <v>81.956249999999997</v>
      </c>
      <c r="L11" s="12">
        <f t="shared" si="9"/>
        <v>114.91312499999998</v>
      </c>
      <c r="M11" s="12">
        <f t="shared" si="11"/>
        <v>363.56437499999987</v>
      </c>
      <c r="N11" s="12">
        <f t="shared" si="0"/>
        <v>363.56437499999987</v>
      </c>
      <c r="O11" s="20">
        <v>0</v>
      </c>
      <c r="P11" s="20">
        <v>0</v>
      </c>
      <c r="Q11" s="14">
        <f t="shared" si="10"/>
        <v>1190</v>
      </c>
      <c r="R11" s="21">
        <f t="shared" si="12"/>
        <v>0</v>
      </c>
      <c r="S11" s="22"/>
      <c r="T11" s="22"/>
      <c r="U11" s="18"/>
      <c r="V11" s="23"/>
      <c r="W11" s="24"/>
      <c r="X11" s="18"/>
      <c r="Y11" s="18"/>
      <c r="Z11" s="18"/>
    </row>
    <row r="12" spans="1:26" ht="15.75" x14ac:dyDescent="0.25">
      <c r="A12" s="19">
        <v>11</v>
      </c>
      <c r="B12" s="12">
        <f t="shared" si="1"/>
        <v>1500</v>
      </c>
      <c r="C12" s="12">
        <v>1000</v>
      </c>
      <c r="D12" s="12">
        <f t="shared" si="2"/>
        <v>90</v>
      </c>
      <c r="E12" s="20">
        <f t="shared" si="13"/>
        <v>500</v>
      </c>
      <c r="F12" s="12">
        <f t="shared" si="3"/>
        <v>45</v>
      </c>
      <c r="G12" s="12">
        <f t="shared" si="4"/>
        <v>50</v>
      </c>
      <c r="H12" s="13">
        <f t="shared" si="5"/>
        <v>4.5</v>
      </c>
      <c r="I12" s="12">
        <f t="shared" si="6"/>
        <v>139.5</v>
      </c>
      <c r="J12" s="12">
        <f t="shared" si="7"/>
        <v>57.543749999999996</v>
      </c>
      <c r="K12" s="12">
        <f t="shared" si="8"/>
        <v>81.956249999999997</v>
      </c>
      <c r="L12" s="12">
        <f t="shared" si="9"/>
        <v>114.91312499999998</v>
      </c>
      <c r="M12" s="12">
        <f t="shared" si="11"/>
        <v>478.47749999999985</v>
      </c>
      <c r="N12" s="12">
        <f t="shared" si="0"/>
        <v>478.47749999999985</v>
      </c>
      <c r="O12" s="20">
        <v>0</v>
      </c>
      <c r="P12" s="20">
        <v>0</v>
      </c>
      <c r="Q12" s="14">
        <f t="shared" si="10"/>
        <v>1100</v>
      </c>
      <c r="R12" s="21">
        <f t="shared" si="12"/>
        <v>0</v>
      </c>
      <c r="S12" s="22"/>
      <c r="T12" s="22"/>
      <c r="U12" s="18"/>
      <c r="V12" s="23"/>
      <c r="W12" s="18"/>
      <c r="X12" s="18"/>
      <c r="Y12" s="18"/>
      <c r="Z12" s="18"/>
    </row>
    <row r="13" spans="1:26" ht="15.75" x14ac:dyDescent="0.25">
      <c r="A13" s="19">
        <v>12</v>
      </c>
      <c r="B13" s="12">
        <f t="shared" si="1"/>
        <v>1500</v>
      </c>
      <c r="C13" s="12">
        <v>1000</v>
      </c>
      <c r="D13" s="12">
        <f t="shared" si="2"/>
        <v>90</v>
      </c>
      <c r="E13" s="20">
        <f>E12+O12</f>
        <v>500</v>
      </c>
      <c r="F13" s="12">
        <f t="shared" si="3"/>
        <v>45</v>
      </c>
      <c r="G13" s="12">
        <f t="shared" si="4"/>
        <v>50</v>
      </c>
      <c r="H13" s="13">
        <f t="shared" si="5"/>
        <v>4.5</v>
      </c>
      <c r="I13" s="12">
        <f t="shared" si="6"/>
        <v>139.5</v>
      </c>
      <c r="J13" s="12">
        <f t="shared" si="7"/>
        <v>57.543749999999996</v>
      </c>
      <c r="K13" s="12">
        <f t="shared" si="8"/>
        <v>81.956249999999997</v>
      </c>
      <c r="L13" s="12">
        <f t="shared" si="9"/>
        <v>114.91312499999998</v>
      </c>
      <c r="M13" s="12">
        <f t="shared" si="11"/>
        <v>593.39062499999977</v>
      </c>
      <c r="N13" s="12">
        <f t="shared" si="0"/>
        <v>93.390624999999773</v>
      </c>
      <c r="O13" s="20">
        <v>500</v>
      </c>
      <c r="P13" s="20">
        <v>2</v>
      </c>
      <c r="Q13" s="14">
        <f>Q12-D12</f>
        <v>1010</v>
      </c>
      <c r="R13" s="21">
        <f t="shared" si="12"/>
        <v>100</v>
      </c>
      <c r="S13" s="20"/>
      <c r="T13" s="20"/>
      <c r="U13" s="18"/>
      <c r="V13" s="23"/>
      <c r="W13" s="18"/>
      <c r="X13" s="18"/>
      <c r="Y13" s="18"/>
      <c r="Z13" s="18"/>
    </row>
    <row r="14" spans="1:26" ht="15.75" x14ac:dyDescent="0.25">
      <c r="A14" s="25">
        <v>13</v>
      </c>
      <c r="B14" s="26">
        <f t="shared" si="1"/>
        <v>2000</v>
      </c>
      <c r="C14" s="26">
        <v>1000</v>
      </c>
      <c r="D14" s="26">
        <f t="shared" si="2"/>
        <v>90</v>
      </c>
      <c r="E14" s="27">
        <f>E13+O13</f>
        <v>1000</v>
      </c>
      <c r="F14" s="26">
        <f t="shared" si="3"/>
        <v>90</v>
      </c>
      <c r="G14" s="26">
        <f t="shared" si="4"/>
        <v>100</v>
      </c>
      <c r="H14" s="28">
        <f t="shared" si="5"/>
        <v>9</v>
      </c>
      <c r="I14" s="26">
        <f t="shared" si="6"/>
        <v>189</v>
      </c>
      <c r="J14" s="26">
        <f t="shared" si="7"/>
        <v>77.962499999999991</v>
      </c>
      <c r="K14" s="26">
        <f t="shared" si="8"/>
        <v>111.03750000000001</v>
      </c>
      <c r="L14" s="26">
        <f t="shared" si="9"/>
        <v>155.68875</v>
      </c>
      <c r="M14" s="26">
        <f t="shared" si="11"/>
        <v>249.07937499999977</v>
      </c>
      <c r="N14" s="26">
        <f t="shared" si="0"/>
        <v>249.07937499999977</v>
      </c>
      <c r="O14" s="27">
        <v>0</v>
      </c>
      <c r="P14" s="27">
        <v>0</v>
      </c>
      <c r="Q14" s="29">
        <f>Q13-D13</f>
        <v>920</v>
      </c>
      <c r="R14" s="30">
        <f t="shared" si="12"/>
        <v>0</v>
      </c>
      <c r="S14" s="27"/>
      <c r="T14" s="27"/>
      <c r="U14" s="18"/>
      <c r="V14" s="23"/>
      <c r="W14" s="18"/>
      <c r="X14" s="18"/>
      <c r="Y14" s="18"/>
      <c r="Z14" s="18"/>
    </row>
    <row r="15" spans="1:26" x14ac:dyDescent="0.25">
      <c r="A15" s="31">
        <v>14</v>
      </c>
      <c r="B15" s="26">
        <f t="shared" si="1"/>
        <v>2000</v>
      </c>
      <c r="C15" s="26">
        <v>1000</v>
      </c>
      <c r="D15" s="26">
        <f t="shared" si="2"/>
        <v>90</v>
      </c>
      <c r="E15" s="27">
        <f t="shared" si="13"/>
        <v>1000</v>
      </c>
      <c r="F15" s="26">
        <f t="shared" si="3"/>
        <v>90</v>
      </c>
      <c r="G15" s="26">
        <f t="shared" si="4"/>
        <v>100</v>
      </c>
      <c r="H15" s="28">
        <f t="shared" si="5"/>
        <v>9</v>
      </c>
      <c r="I15" s="26">
        <f t="shared" si="6"/>
        <v>189</v>
      </c>
      <c r="J15" s="26">
        <f t="shared" si="7"/>
        <v>77.962499999999991</v>
      </c>
      <c r="K15" s="26">
        <f t="shared" si="8"/>
        <v>111.03750000000001</v>
      </c>
      <c r="L15" s="26">
        <f t="shared" si="9"/>
        <v>155.68875</v>
      </c>
      <c r="M15" s="26">
        <f t="shared" si="11"/>
        <v>404.76812499999977</v>
      </c>
      <c r="N15" s="26">
        <f t="shared" si="0"/>
        <v>404.76812499999977</v>
      </c>
      <c r="O15" s="27">
        <v>0</v>
      </c>
      <c r="P15" s="27">
        <v>0</v>
      </c>
      <c r="Q15" s="29">
        <f t="shared" si="10"/>
        <v>830</v>
      </c>
      <c r="R15" s="30">
        <f t="shared" si="12"/>
        <v>0</v>
      </c>
      <c r="S15" s="27"/>
      <c r="T15" s="27"/>
      <c r="U15" s="18"/>
      <c r="V15" s="18"/>
      <c r="W15" s="18"/>
      <c r="X15" s="18"/>
      <c r="Y15" s="18"/>
      <c r="Z15" s="18"/>
    </row>
    <row r="16" spans="1:26" x14ac:dyDescent="0.25">
      <c r="A16" s="31">
        <v>15</v>
      </c>
      <c r="B16" s="26">
        <f t="shared" si="1"/>
        <v>2000</v>
      </c>
      <c r="C16" s="26">
        <v>1000</v>
      </c>
      <c r="D16" s="26">
        <f t="shared" si="2"/>
        <v>90</v>
      </c>
      <c r="E16" s="27">
        <f t="shared" si="13"/>
        <v>1000</v>
      </c>
      <c r="F16" s="26">
        <f t="shared" si="3"/>
        <v>90</v>
      </c>
      <c r="G16" s="26">
        <f t="shared" si="4"/>
        <v>100</v>
      </c>
      <c r="H16" s="28">
        <f t="shared" si="5"/>
        <v>9</v>
      </c>
      <c r="I16" s="26">
        <f t="shared" si="6"/>
        <v>189</v>
      </c>
      <c r="J16" s="26">
        <f t="shared" si="7"/>
        <v>77.962499999999991</v>
      </c>
      <c r="K16" s="26">
        <f t="shared" si="8"/>
        <v>111.03750000000001</v>
      </c>
      <c r="L16" s="26">
        <f t="shared" si="9"/>
        <v>155.68875</v>
      </c>
      <c r="M16" s="26">
        <f t="shared" si="11"/>
        <v>560.45687499999974</v>
      </c>
      <c r="N16" s="26">
        <f t="shared" si="0"/>
        <v>60.456874999999741</v>
      </c>
      <c r="O16" s="27">
        <v>500</v>
      </c>
      <c r="P16" s="27">
        <v>3</v>
      </c>
      <c r="Q16" s="29">
        <f t="shared" si="10"/>
        <v>740</v>
      </c>
      <c r="R16" s="30">
        <f t="shared" si="12"/>
        <v>100</v>
      </c>
      <c r="S16" s="27"/>
      <c r="T16" s="27"/>
      <c r="U16" s="18"/>
      <c r="V16" s="8"/>
      <c r="W16" s="18"/>
      <c r="X16" s="18"/>
      <c r="Y16" s="18"/>
      <c r="Z16" s="18"/>
    </row>
    <row r="17" spans="1:26" x14ac:dyDescent="0.25">
      <c r="A17" s="31">
        <v>16</v>
      </c>
      <c r="B17" s="26">
        <f t="shared" si="1"/>
        <v>2500</v>
      </c>
      <c r="C17" s="26">
        <v>1000</v>
      </c>
      <c r="D17" s="26">
        <f t="shared" si="2"/>
        <v>90</v>
      </c>
      <c r="E17" s="27">
        <f t="shared" si="13"/>
        <v>1500</v>
      </c>
      <c r="F17" s="26">
        <f t="shared" si="3"/>
        <v>135</v>
      </c>
      <c r="G17" s="26">
        <f t="shared" si="4"/>
        <v>150</v>
      </c>
      <c r="H17" s="28">
        <f t="shared" si="5"/>
        <v>13.5</v>
      </c>
      <c r="I17" s="26">
        <f t="shared" si="6"/>
        <v>238.5</v>
      </c>
      <c r="J17" s="26">
        <f t="shared" si="7"/>
        <v>98.381249999999994</v>
      </c>
      <c r="K17" s="26">
        <f t="shared" si="8"/>
        <v>140.11875000000001</v>
      </c>
      <c r="L17" s="26">
        <f t="shared" si="9"/>
        <v>196.46437499999999</v>
      </c>
      <c r="M17" s="26">
        <f t="shared" si="11"/>
        <v>256.92124999999976</v>
      </c>
      <c r="N17" s="26">
        <f t="shared" si="0"/>
        <v>256.92124999999976</v>
      </c>
      <c r="O17" s="27">
        <v>0</v>
      </c>
      <c r="P17" s="27">
        <v>0</v>
      </c>
      <c r="Q17" s="29">
        <f t="shared" si="10"/>
        <v>650</v>
      </c>
      <c r="R17" s="30">
        <f t="shared" si="12"/>
        <v>0</v>
      </c>
      <c r="S17" s="27"/>
      <c r="T17" s="27"/>
      <c r="U17" s="18"/>
      <c r="V17" s="18"/>
      <c r="W17" s="18"/>
      <c r="X17" s="18"/>
      <c r="Y17" s="18"/>
      <c r="Z17" s="18"/>
    </row>
    <row r="18" spans="1:26" x14ac:dyDescent="0.25">
      <c r="A18" s="25">
        <v>17</v>
      </c>
      <c r="B18" s="26">
        <f t="shared" si="1"/>
        <v>2500</v>
      </c>
      <c r="C18" s="26">
        <f>1000</f>
        <v>1000</v>
      </c>
      <c r="D18" s="26">
        <f t="shared" si="2"/>
        <v>90</v>
      </c>
      <c r="E18" s="27">
        <f t="shared" si="13"/>
        <v>1500</v>
      </c>
      <c r="F18" s="26">
        <f t="shared" si="3"/>
        <v>135</v>
      </c>
      <c r="G18" s="26">
        <f t="shared" si="4"/>
        <v>150</v>
      </c>
      <c r="H18" s="28">
        <f t="shared" si="5"/>
        <v>13.5</v>
      </c>
      <c r="I18" s="26">
        <f t="shared" si="6"/>
        <v>238.5</v>
      </c>
      <c r="J18" s="26">
        <f t="shared" si="7"/>
        <v>98.381249999999994</v>
      </c>
      <c r="K18" s="26">
        <f t="shared" si="8"/>
        <v>140.11875000000001</v>
      </c>
      <c r="L18" s="26">
        <f t="shared" si="9"/>
        <v>196.46437499999999</v>
      </c>
      <c r="M18" s="26">
        <f t="shared" si="11"/>
        <v>453.38562499999978</v>
      </c>
      <c r="N18" s="26">
        <f t="shared" si="0"/>
        <v>453.38562499999978</v>
      </c>
      <c r="O18" s="27">
        <v>0</v>
      </c>
      <c r="P18" s="27">
        <v>0</v>
      </c>
      <c r="Q18" s="29">
        <f>Q17-D17</f>
        <v>560</v>
      </c>
      <c r="R18" s="30">
        <f t="shared" si="12"/>
        <v>0</v>
      </c>
      <c r="S18" s="27"/>
      <c r="T18" s="27"/>
      <c r="U18" s="18"/>
      <c r="V18" s="18"/>
      <c r="W18" s="18"/>
      <c r="X18" s="18"/>
      <c r="Y18" s="18"/>
      <c r="Z18" s="18"/>
    </row>
    <row r="19" spans="1:26" x14ac:dyDescent="0.25">
      <c r="A19" s="25">
        <v>18</v>
      </c>
      <c r="B19" s="26">
        <f t="shared" si="1"/>
        <v>2500</v>
      </c>
      <c r="C19" s="26">
        <f>1000</f>
        <v>1000</v>
      </c>
      <c r="D19" s="26">
        <f t="shared" si="2"/>
        <v>90</v>
      </c>
      <c r="E19" s="27">
        <f t="shared" si="13"/>
        <v>1500</v>
      </c>
      <c r="F19" s="26">
        <f t="shared" si="3"/>
        <v>135</v>
      </c>
      <c r="G19" s="26">
        <f t="shared" si="4"/>
        <v>150</v>
      </c>
      <c r="H19" s="28">
        <f t="shared" si="5"/>
        <v>13.5</v>
      </c>
      <c r="I19" s="26">
        <f t="shared" si="6"/>
        <v>238.5</v>
      </c>
      <c r="J19" s="26">
        <f t="shared" si="7"/>
        <v>98.381249999999994</v>
      </c>
      <c r="K19" s="26">
        <f t="shared" si="8"/>
        <v>140.11875000000001</v>
      </c>
      <c r="L19" s="26">
        <f t="shared" si="9"/>
        <v>196.46437499999999</v>
      </c>
      <c r="M19" s="26">
        <f t="shared" si="11"/>
        <v>649.8499999999998</v>
      </c>
      <c r="N19" s="26">
        <f t="shared" si="0"/>
        <v>149.8499999999998</v>
      </c>
      <c r="O19" s="27">
        <v>500</v>
      </c>
      <c r="P19" s="27">
        <v>4</v>
      </c>
      <c r="Q19" s="29">
        <f>Q18-D18</f>
        <v>470</v>
      </c>
      <c r="R19" s="30">
        <f t="shared" si="12"/>
        <v>100</v>
      </c>
      <c r="S19" s="27"/>
      <c r="T19" s="27"/>
    </row>
    <row r="20" spans="1:26" x14ac:dyDescent="0.25">
      <c r="A20" s="25">
        <v>19</v>
      </c>
      <c r="B20" s="26">
        <f t="shared" si="1"/>
        <v>3000</v>
      </c>
      <c r="C20" s="26">
        <f>1000</f>
        <v>1000</v>
      </c>
      <c r="D20" s="26">
        <f t="shared" si="2"/>
        <v>90</v>
      </c>
      <c r="E20" s="27">
        <f t="shared" si="13"/>
        <v>2000</v>
      </c>
      <c r="F20" s="26">
        <f t="shared" si="3"/>
        <v>180</v>
      </c>
      <c r="G20" s="26">
        <f t="shared" si="4"/>
        <v>200</v>
      </c>
      <c r="H20" s="28">
        <f t="shared" si="5"/>
        <v>18</v>
      </c>
      <c r="I20" s="26">
        <f t="shared" si="6"/>
        <v>288</v>
      </c>
      <c r="J20" s="26">
        <f t="shared" si="7"/>
        <v>118.8</v>
      </c>
      <c r="K20" s="26">
        <f t="shared" si="8"/>
        <v>169.20000000000002</v>
      </c>
      <c r="L20" s="26">
        <f t="shared" si="9"/>
        <v>237.24</v>
      </c>
      <c r="M20" s="26">
        <f t="shared" si="11"/>
        <v>387.0899999999998</v>
      </c>
      <c r="N20" s="26">
        <f t="shared" si="0"/>
        <v>387.0899999999998</v>
      </c>
      <c r="O20" s="27">
        <v>0</v>
      </c>
      <c r="P20" s="27">
        <v>0</v>
      </c>
      <c r="Q20" s="29">
        <f>Q19-D19</f>
        <v>380</v>
      </c>
      <c r="R20" s="30">
        <f t="shared" si="12"/>
        <v>0</v>
      </c>
      <c r="S20" s="27"/>
      <c r="T20" s="27"/>
    </row>
    <row r="21" spans="1:26" x14ac:dyDescent="0.25">
      <c r="A21" s="25">
        <v>20</v>
      </c>
      <c r="B21" s="26">
        <f t="shared" si="1"/>
        <v>3000</v>
      </c>
      <c r="C21" s="26">
        <f>1000</f>
        <v>1000</v>
      </c>
      <c r="D21" s="26">
        <f t="shared" si="2"/>
        <v>90</v>
      </c>
      <c r="E21" s="27">
        <f t="shared" si="13"/>
        <v>2000</v>
      </c>
      <c r="F21" s="26">
        <f t="shared" si="3"/>
        <v>180</v>
      </c>
      <c r="G21" s="26">
        <f t="shared" si="4"/>
        <v>200</v>
      </c>
      <c r="H21" s="28">
        <f t="shared" si="5"/>
        <v>18</v>
      </c>
      <c r="I21" s="26">
        <f t="shared" si="6"/>
        <v>288</v>
      </c>
      <c r="J21" s="26">
        <f t="shared" si="7"/>
        <v>118.8</v>
      </c>
      <c r="K21" s="26">
        <f t="shared" si="8"/>
        <v>169.20000000000002</v>
      </c>
      <c r="L21" s="26">
        <f t="shared" si="9"/>
        <v>237.24</v>
      </c>
      <c r="M21" s="26">
        <f t="shared" si="11"/>
        <v>624.32999999999981</v>
      </c>
      <c r="N21" s="26">
        <f t="shared" si="0"/>
        <v>624.32999999999981</v>
      </c>
      <c r="O21" s="27">
        <v>0</v>
      </c>
      <c r="P21" s="27">
        <v>0</v>
      </c>
      <c r="Q21" s="29">
        <f>Q20-D20</f>
        <v>290</v>
      </c>
      <c r="R21" s="30">
        <f t="shared" si="12"/>
        <v>0</v>
      </c>
      <c r="S21" s="27"/>
      <c r="T21" s="27"/>
    </row>
    <row r="22" spans="1:26" x14ac:dyDescent="0.25">
      <c r="A22" s="25">
        <v>21</v>
      </c>
      <c r="B22" s="26">
        <f t="shared" si="1"/>
        <v>3000</v>
      </c>
      <c r="C22" s="26">
        <f>1000</f>
        <v>1000</v>
      </c>
      <c r="D22" s="26">
        <f t="shared" si="2"/>
        <v>90</v>
      </c>
      <c r="E22" s="27">
        <f t="shared" si="13"/>
        <v>2000</v>
      </c>
      <c r="F22" s="26">
        <f t="shared" si="3"/>
        <v>180</v>
      </c>
      <c r="G22" s="26">
        <f t="shared" si="4"/>
        <v>200</v>
      </c>
      <c r="H22" s="28">
        <f t="shared" si="5"/>
        <v>18</v>
      </c>
      <c r="I22" s="26">
        <f t="shared" si="6"/>
        <v>288</v>
      </c>
      <c r="J22" s="26">
        <f t="shared" si="7"/>
        <v>118.8</v>
      </c>
      <c r="K22" s="26">
        <f t="shared" si="8"/>
        <v>169.20000000000002</v>
      </c>
      <c r="L22" s="26">
        <f t="shared" si="9"/>
        <v>237.24</v>
      </c>
      <c r="M22" s="26">
        <f t="shared" si="11"/>
        <v>861.56999999999982</v>
      </c>
      <c r="N22" s="26">
        <f t="shared" si="0"/>
        <v>861.56999999999982</v>
      </c>
      <c r="O22" s="27">
        <v>0</v>
      </c>
      <c r="P22" s="27">
        <v>0</v>
      </c>
      <c r="Q22" s="29">
        <f>Q21-D21</f>
        <v>200</v>
      </c>
      <c r="R22" s="30">
        <f t="shared" si="12"/>
        <v>0</v>
      </c>
      <c r="S22" s="27"/>
      <c r="T22" s="27"/>
    </row>
    <row r="23" spans="1:26" x14ac:dyDescent="0.25">
      <c r="A23" s="25">
        <v>22</v>
      </c>
      <c r="B23" s="26">
        <f t="shared" si="1"/>
        <v>3000</v>
      </c>
      <c r="C23" s="26">
        <f>1000</f>
        <v>1000</v>
      </c>
      <c r="D23" s="26">
        <f t="shared" si="2"/>
        <v>90</v>
      </c>
      <c r="E23" s="27">
        <f t="shared" si="13"/>
        <v>2000</v>
      </c>
      <c r="F23" s="26">
        <f t="shared" si="3"/>
        <v>180</v>
      </c>
      <c r="G23" s="26">
        <f t="shared" si="4"/>
        <v>200</v>
      </c>
      <c r="H23" s="28">
        <f t="shared" si="5"/>
        <v>18</v>
      </c>
      <c r="I23" s="26">
        <f t="shared" si="6"/>
        <v>288</v>
      </c>
      <c r="J23" s="26">
        <f t="shared" si="7"/>
        <v>118.8</v>
      </c>
      <c r="K23" s="26">
        <f t="shared" si="8"/>
        <v>169.20000000000002</v>
      </c>
      <c r="L23" s="26">
        <f t="shared" si="9"/>
        <v>237.24</v>
      </c>
      <c r="M23" s="26">
        <f t="shared" si="11"/>
        <v>1098.81</v>
      </c>
      <c r="N23" s="26">
        <f t="shared" si="0"/>
        <v>1098.81</v>
      </c>
      <c r="O23" s="27">
        <v>0</v>
      </c>
      <c r="P23" s="27">
        <v>0</v>
      </c>
      <c r="Q23" s="29">
        <f>Q22-D22</f>
        <v>110</v>
      </c>
      <c r="R23" s="27">
        <f t="shared" si="12"/>
        <v>0</v>
      </c>
      <c r="S23" s="27"/>
      <c r="T23" s="27">
        <f>+(R2+R3+R4+R5+R6+R7+R8+R9+R10+R11+R12+R13+R14+R15+R16+R17+R18+R19+R20+R21+R22+R23)*0.7</f>
        <v>280</v>
      </c>
    </row>
    <row r="24" spans="1:26" x14ac:dyDescent="0.25">
      <c r="A24" s="32">
        <v>23</v>
      </c>
      <c r="B24" s="33">
        <f t="shared" si="1"/>
        <v>4500</v>
      </c>
      <c r="C24" s="33">
        <f>1000+1500</f>
        <v>2500</v>
      </c>
      <c r="D24" s="33">
        <f t="shared" si="2"/>
        <v>225</v>
      </c>
      <c r="E24" s="34">
        <f t="shared" si="13"/>
        <v>2000</v>
      </c>
      <c r="F24" s="33">
        <f t="shared" si="3"/>
        <v>180</v>
      </c>
      <c r="G24" s="33">
        <f t="shared" si="4"/>
        <v>200</v>
      </c>
      <c r="H24" s="35">
        <f t="shared" si="5"/>
        <v>18</v>
      </c>
      <c r="I24" s="33">
        <f t="shared" si="6"/>
        <v>423</v>
      </c>
      <c r="J24" s="33">
        <f t="shared" si="7"/>
        <v>174.48749999999998</v>
      </c>
      <c r="K24" s="33">
        <f t="shared" si="8"/>
        <v>248.51250000000002</v>
      </c>
      <c r="L24" s="33">
        <f t="shared" si="9"/>
        <v>348.44624999999996</v>
      </c>
      <c r="M24" s="33">
        <f t="shared" si="11"/>
        <v>1447.2562499999999</v>
      </c>
      <c r="N24" s="33">
        <f>+(M24-O24)-T24</f>
        <v>227.25624999999991</v>
      </c>
      <c r="O24" s="36">
        <v>0</v>
      </c>
      <c r="P24" s="34">
        <v>0</v>
      </c>
      <c r="Q24" s="37">
        <f>(Q23-D23)+3000</f>
        <v>3020</v>
      </c>
      <c r="R24" s="34">
        <f t="shared" si="12"/>
        <v>0</v>
      </c>
      <c r="S24" s="34" t="s">
        <v>19</v>
      </c>
      <c r="T24" s="34">
        <v>1220</v>
      </c>
    </row>
    <row r="25" spans="1:26" x14ac:dyDescent="0.25">
      <c r="A25" s="25">
        <v>24</v>
      </c>
      <c r="B25" s="26">
        <f t="shared" si="1"/>
        <v>4500</v>
      </c>
      <c r="C25" s="26">
        <f t="shared" ref="C25:C49" si="14">1000+1500</f>
        <v>2500</v>
      </c>
      <c r="D25" s="26">
        <f t="shared" si="2"/>
        <v>225</v>
      </c>
      <c r="E25" s="27">
        <f t="shared" si="13"/>
        <v>2000</v>
      </c>
      <c r="F25" s="26">
        <f t="shared" si="3"/>
        <v>180</v>
      </c>
      <c r="G25" s="26">
        <f t="shared" si="4"/>
        <v>200</v>
      </c>
      <c r="H25" s="28">
        <f t="shared" si="5"/>
        <v>18</v>
      </c>
      <c r="I25" s="26">
        <f t="shared" si="6"/>
        <v>423</v>
      </c>
      <c r="J25" s="26">
        <f t="shared" si="7"/>
        <v>174.48749999999998</v>
      </c>
      <c r="K25" s="26">
        <f t="shared" si="8"/>
        <v>248.51250000000002</v>
      </c>
      <c r="L25" s="26">
        <f t="shared" si="9"/>
        <v>348.44624999999996</v>
      </c>
      <c r="M25" s="26">
        <f t="shared" si="11"/>
        <v>575.70249999999987</v>
      </c>
      <c r="N25" s="26">
        <f t="shared" si="0"/>
        <v>75.702499999999873</v>
      </c>
      <c r="O25" s="30">
        <v>500</v>
      </c>
      <c r="P25" s="27">
        <v>5</v>
      </c>
      <c r="Q25" s="29">
        <f t="shared" ref="Q25:Q49" si="15">Q24-D24</f>
        <v>2795</v>
      </c>
      <c r="R25" s="27">
        <f t="shared" si="12"/>
        <v>100</v>
      </c>
      <c r="S25" s="27"/>
      <c r="T25" s="27"/>
    </row>
    <row r="26" spans="1:26" x14ac:dyDescent="0.25">
      <c r="A26" s="38">
        <v>25</v>
      </c>
      <c r="B26" s="39">
        <f t="shared" si="1"/>
        <v>5000</v>
      </c>
      <c r="C26" s="39">
        <f t="shared" si="14"/>
        <v>2500</v>
      </c>
      <c r="D26" s="39">
        <f t="shared" si="2"/>
        <v>225</v>
      </c>
      <c r="E26" s="40">
        <f t="shared" si="13"/>
        <v>2500</v>
      </c>
      <c r="F26" s="39">
        <f t="shared" si="3"/>
        <v>225</v>
      </c>
      <c r="G26" s="39">
        <f t="shared" si="4"/>
        <v>250</v>
      </c>
      <c r="H26" s="41">
        <f t="shared" si="5"/>
        <v>22.5</v>
      </c>
      <c r="I26" s="39">
        <f t="shared" si="6"/>
        <v>472.5</v>
      </c>
      <c r="J26" s="39">
        <f t="shared" si="7"/>
        <v>194.90625</v>
      </c>
      <c r="K26" s="39">
        <f t="shared" si="8"/>
        <v>277.59375</v>
      </c>
      <c r="L26" s="39">
        <f t="shared" si="9"/>
        <v>389.22187499999995</v>
      </c>
      <c r="M26" s="39">
        <f t="shared" si="11"/>
        <v>464.92437499999983</v>
      </c>
      <c r="N26" s="39">
        <f t="shared" si="0"/>
        <v>464.92437499999983</v>
      </c>
      <c r="O26" s="42">
        <v>0</v>
      </c>
      <c r="P26" s="40">
        <v>0</v>
      </c>
      <c r="Q26" s="43">
        <f t="shared" si="15"/>
        <v>2570</v>
      </c>
      <c r="R26" s="40">
        <f t="shared" si="12"/>
        <v>0</v>
      </c>
      <c r="S26" s="40"/>
      <c r="T26" s="40"/>
    </row>
    <row r="27" spans="1:26" x14ac:dyDescent="0.25">
      <c r="A27" s="38">
        <v>26</v>
      </c>
      <c r="B27" s="39">
        <f t="shared" si="1"/>
        <v>5000</v>
      </c>
      <c r="C27" s="39">
        <f t="shared" si="14"/>
        <v>2500</v>
      </c>
      <c r="D27" s="39">
        <f t="shared" si="2"/>
        <v>225</v>
      </c>
      <c r="E27" s="40">
        <f t="shared" si="13"/>
        <v>2500</v>
      </c>
      <c r="F27" s="39">
        <f t="shared" si="3"/>
        <v>225</v>
      </c>
      <c r="G27" s="39">
        <f t="shared" si="4"/>
        <v>250</v>
      </c>
      <c r="H27" s="41">
        <f t="shared" si="5"/>
        <v>22.5</v>
      </c>
      <c r="I27" s="39">
        <f t="shared" si="6"/>
        <v>472.5</v>
      </c>
      <c r="J27" s="39">
        <f t="shared" si="7"/>
        <v>194.90625</v>
      </c>
      <c r="K27" s="39">
        <f t="shared" si="8"/>
        <v>277.59375</v>
      </c>
      <c r="L27" s="39">
        <f t="shared" si="9"/>
        <v>389.22187499999995</v>
      </c>
      <c r="M27" s="39">
        <f t="shared" si="11"/>
        <v>854.14624999999978</v>
      </c>
      <c r="N27" s="39">
        <f t="shared" si="0"/>
        <v>354.14624999999978</v>
      </c>
      <c r="O27" s="42">
        <v>500</v>
      </c>
      <c r="P27" s="40">
        <v>6</v>
      </c>
      <c r="Q27" s="43">
        <f t="shared" si="15"/>
        <v>2345</v>
      </c>
      <c r="R27" s="40">
        <f t="shared" si="12"/>
        <v>100</v>
      </c>
      <c r="S27" s="40"/>
      <c r="T27" s="40"/>
    </row>
    <row r="28" spans="1:26" x14ac:dyDescent="0.25">
      <c r="A28" s="38">
        <v>27</v>
      </c>
      <c r="B28" s="39">
        <f t="shared" si="1"/>
        <v>5500</v>
      </c>
      <c r="C28" s="39">
        <f t="shared" si="14"/>
        <v>2500</v>
      </c>
      <c r="D28" s="39">
        <f t="shared" si="2"/>
        <v>225</v>
      </c>
      <c r="E28" s="40">
        <f t="shared" si="13"/>
        <v>3000</v>
      </c>
      <c r="F28" s="39">
        <f t="shared" si="3"/>
        <v>270</v>
      </c>
      <c r="G28" s="39">
        <f t="shared" si="4"/>
        <v>300</v>
      </c>
      <c r="H28" s="41">
        <f t="shared" si="5"/>
        <v>27</v>
      </c>
      <c r="I28" s="39">
        <f t="shared" si="6"/>
        <v>522</v>
      </c>
      <c r="J28" s="39">
        <f t="shared" si="7"/>
        <v>215.32499999999999</v>
      </c>
      <c r="K28" s="39">
        <f t="shared" si="8"/>
        <v>306.67500000000001</v>
      </c>
      <c r="L28" s="39">
        <f t="shared" si="9"/>
        <v>429.99749999999995</v>
      </c>
      <c r="M28" s="39">
        <f t="shared" si="11"/>
        <v>784.14374999999973</v>
      </c>
      <c r="N28" s="39">
        <f t="shared" si="0"/>
        <v>284.14374999999973</v>
      </c>
      <c r="O28" s="42">
        <v>500</v>
      </c>
      <c r="P28" s="40">
        <v>7</v>
      </c>
      <c r="Q28" s="43">
        <f t="shared" si="15"/>
        <v>2120</v>
      </c>
      <c r="R28" s="40">
        <f t="shared" si="12"/>
        <v>100</v>
      </c>
      <c r="S28" s="40"/>
      <c r="T28" s="40"/>
    </row>
    <row r="29" spans="1:26" x14ac:dyDescent="0.25">
      <c r="A29" s="38">
        <v>28</v>
      </c>
      <c r="B29" s="39">
        <f t="shared" si="1"/>
        <v>6000</v>
      </c>
      <c r="C29" s="39">
        <f t="shared" si="14"/>
        <v>2500</v>
      </c>
      <c r="D29" s="39">
        <f t="shared" si="2"/>
        <v>225</v>
      </c>
      <c r="E29" s="40">
        <f t="shared" si="13"/>
        <v>3500</v>
      </c>
      <c r="F29" s="39">
        <f t="shared" si="3"/>
        <v>315</v>
      </c>
      <c r="G29" s="39">
        <f t="shared" si="4"/>
        <v>350</v>
      </c>
      <c r="H29" s="41">
        <f t="shared" si="5"/>
        <v>31.5</v>
      </c>
      <c r="I29" s="39">
        <f t="shared" si="6"/>
        <v>571.5</v>
      </c>
      <c r="J29" s="39">
        <f t="shared" si="7"/>
        <v>235.74374999999998</v>
      </c>
      <c r="K29" s="39">
        <f t="shared" si="8"/>
        <v>335.75625000000002</v>
      </c>
      <c r="L29" s="39">
        <f t="shared" si="9"/>
        <v>470.77312499999994</v>
      </c>
      <c r="M29" s="39">
        <f t="shared" si="11"/>
        <v>754.91687499999966</v>
      </c>
      <c r="N29" s="39">
        <f t="shared" si="0"/>
        <v>254.91687499999966</v>
      </c>
      <c r="O29" s="42">
        <v>500</v>
      </c>
      <c r="P29" s="40">
        <v>8</v>
      </c>
      <c r="Q29" s="43">
        <f t="shared" si="15"/>
        <v>1895</v>
      </c>
      <c r="R29" s="40">
        <f t="shared" si="12"/>
        <v>100</v>
      </c>
      <c r="S29" s="40"/>
      <c r="T29" s="40"/>
    </row>
    <row r="30" spans="1:26" x14ac:dyDescent="0.25">
      <c r="A30" s="38">
        <v>29</v>
      </c>
      <c r="B30" s="39">
        <f t="shared" si="1"/>
        <v>6500</v>
      </c>
      <c r="C30" s="39">
        <f t="shared" si="14"/>
        <v>2500</v>
      </c>
      <c r="D30" s="39">
        <f t="shared" si="2"/>
        <v>225</v>
      </c>
      <c r="E30" s="40">
        <f t="shared" si="13"/>
        <v>4000</v>
      </c>
      <c r="F30" s="39">
        <f t="shared" si="3"/>
        <v>360</v>
      </c>
      <c r="G30" s="39">
        <f t="shared" si="4"/>
        <v>400</v>
      </c>
      <c r="H30" s="41">
        <f t="shared" si="5"/>
        <v>36</v>
      </c>
      <c r="I30" s="39">
        <f t="shared" si="6"/>
        <v>621</v>
      </c>
      <c r="J30" s="39">
        <f t="shared" si="7"/>
        <v>256.16249999999997</v>
      </c>
      <c r="K30" s="39">
        <f t="shared" si="8"/>
        <v>364.83750000000003</v>
      </c>
      <c r="L30" s="39">
        <f t="shared" si="9"/>
        <v>511.54874999999998</v>
      </c>
      <c r="M30" s="39">
        <f t="shared" si="11"/>
        <v>766.46562499999959</v>
      </c>
      <c r="N30" s="39">
        <f t="shared" si="0"/>
        <v>266.46562499999959</v>
      </c>
      <c r="O30" s="42">
        <v>500</v>
      </c>
      <c r="P30" s="40">
        <v>9</v>
      </c>
      <c r="Q30" s="43">
        <f t="shared" si="15"/>
        <v>1670</v>
      </c>
      <c r="R30" s="40">
        <f t="shared" si="12"/>
        <v>100</v>
      </c>
      <c r="S30" s="40"/>
      <c r="T30" s="40"/>
    </row>
    <row r="31" spans="1:26" x14ac:dyDescent="0.25">
      <c r="A31" s="38">
        <v>30</v>
      </c>
      <c r="B31" s="39">
        <f t="shared" si="1"/>
        <v>7000</v>
      </c>
      <c r="C31" s="39">
        <f t="shared" si="14"/>
        <v>2500</v>
      </c>
      <c r="D31" s="39">
        <f t="shared" si="2"/>
        <v>225</v>
      </c>
      <c r="E31" s="40">
        <f t="shared" si="13"/>
        <v>4500</v>
      </c>
      <c r="F31" s="39">
        <f t="shared" si="3"/>
        <v>405</v>
      </c>
      <c r="G31" s="39">
        <f t="shared" si="4"/>
        <v>450</v>
      </c>
      <c r="H31" s="41">
        <f t="shared" si="5"/>
        <v>40.5</v>
      </c>
      <c r="I31" s="39">
        <f t="shared" si="6"/>
        <v>670.5</v>
      </c>
      <c r="J31" s="39">
        <f t="shared" si="7"/>
        <v>276.58125000000001</v>
      </c>
      <c r="K31" s="39">
        <f t="shared" si="8"/>
        <v>393.91874999999999</v>
      </c>
      <c r="L31" s="39">
        <f t="shared" si="9"/>
        <v>552.32437499999992</v>
      </c>
      <c r="M31" s="39">
        <f t="shared" si="11"/>
        <v>818.78999999999951</v>
      </c>
      <c r="N31" s="39">
        <f t="shared" si="0"/>
        <v>318.78999999999951</v>
      </c>
      <c r="O31" s="42">
        <v>500</v>
      </c>
      <c r="P31" s="40">
        <v>10</v>
      </c>
      <c r="Q31" s="43">
        <f t="shared" si="15"/>
        <v>1445</v>
      </c>
      <c r="R31" s="40">
        <f t="shared" si="12"/>
        <v>100</v>
      </c>
      <c r="S31" s="40"/>
      <c r="T31" s="40"/>
    </row>
    <row r="32" spans="1:26" x14ac:dyDescent="0.25">
      <c r="A32" s="38">
        <v>31</v>
      </c>
      <c r="B32" s="39">
        <f t="shared" si="1"/>
        <v>7500</v>
      </c>
      <c r="C32" s="39">
        <f t="shared" si="14"/>
        <v>2500</v>
      </c>
      <c r="D32" s="39">
        <f t="shared" si="2"/>
        <v>225</v>
      </c>
      <c r="E32" s="40">
        <f t="shared" si="13"/>
        <v>5000</v>
      </c>
      <c r="F32" s="39">
        <f t="shared" si="3"/>
        <v>450</v>
      </c>
      <c r="G32" s="39">
        <f t="shared" si="4"/>
        <v>500</v>
      </c>
      <c r="H32" s="41">
        <f t="shared" si="5"/>
        <v>45</v>
      </c>
      <c r="I32" s="39">
        <f t="shared" si="6"/>
        <v>720</v>
      </c>
      <c r="J32" s="39">
        <f t="shared" si="7"/>
        <v>297</v>
      </c>
      <c r="K32" s="39">
        <f t="shared" si="8"/>
        <v>423</v>
      </c>
      <c r="L32" s="39">
        <f t="shared" si="9"/>
        <v>593.09999999999991</v>
      </c>
      <c r="M32" s="39">
        <f t="shared" si="11"/>
        <v>911.88999999999942</v>
      </c>
      <c r="N32" s="39">
        <f t="shared" si="0"/>
        <v>411.88999999999942</v>
      </c>
      <c r="O32" s="42">
        <v>500</v>
      </c>
      <c r="P32" s="40">
        <v>11</v>
      </c>
      <c r="Q32" s="43">
        <f t="shared" si="15"/>
        <v>1220</v>
      </c>
      <c r="R32" s="40">
        <f t="shared" si="12"/>
        <v>100</v>
      </c>
      <c r="S32" s="40"/>
      <c r="T32" s="40"/>
    </row>
    <row r="33" spans="1:20" x14ac:dyDescent="0.25">
      <c r="A33" s="38">
        <v>32</v>
      </c>
      <c r="B33" s="39">
        <f t="shared" si="1"/>
        <v>8000</v>
      </c>
      <c r="C33" s="39">
        <f t="shared" si="14"/>
        <v>2500</v>
      </c>
      <c r="D33" s="39">
        <f t="shared" si="2"/>
        <v>225</v>
      </c>
      <c r="E33" s="40">
        <f t="shared" si="13"/>
        <v>5500</v>
      </c>
      <c r="F33" s="39">
        <f t="shared" si="3"/>
        <v>495</v>
      </c>
      <c r="G33" s="39">
        <f t="shared" si="4"/>
        <v>550</v>
      </c>
      <c r="H33" s="41">
        <f t="shared" si="5"/>
        <v>49.5</v>
      </c>
      <c r="I33" s="39">
        <f t="shared" si="6"/>
        <v>769.5</v>
      </c>
      <c r="J33" s="39">
        <f t="shared" si="7"/>
        <v>317.41874999999999</v>
      </c>
      <c r="K33" s="39">
        <f t="shared" si="8"/>
        <v>452.08125000000001</v>
      </c>
      <c r="L33" s="39">
        <f t="shared" si="9"/>
        <v>633.8756249999999</v>
      </c>
      <c r="M33" s="39">
        <f t="shared" si="11"/>
        <v>1045.7656249999993</v>
      </c>
      <c r="N33" s="39">
        <f t="shared" si="0"/>
        <v>545.76562499999932</v>
      </c>
      <c r="O33" s="42">
        <v>500</v>
      </c>
      <c r="P33" s="40">
        <v>12</v>
      </c>
      <c r="Q33" s="43">
        <f t="shared" si="15"/>
        <v>995</v>
      </c>
      <c r="R33" s="40">
        <f t="shared" si="12"/>
        <v>100</v>
      </c>
      <c r="S33" s="40"/>
      <c r="T33" s="40"/>
    </row>
    <row r="34" spans="1:20" x14ac:dyDescent="0.25">
      <c r="A34" s="38">
        <v>33</v>
      </c>
      <c r="B34" s="39">
        <f t="shared" si="1"/>
        <v>8500</v>
      </c>
      <c r="C34" s="39">
        <f t="shared" si="14"/>
        <v>2500</v>
      </c>
      <c r="D34" s="39">
        <f t="shared" si="2"/>
        <v>225</v>
      </c>
      <c r="E34" s="40">
        <f t="shared" si="13"/>
        <v>6000</v>
      </c>
      <c r="F34" s="39">
        <f t="shared" si="3"/>
        <v>540</v>
      </c>
      <c r="G34" s="39">
        <f t="shared" si="4"/>
        <v>600</v>
      </c>
      <c r="H34" s="41">
        <f t="shared" si="5"/>
        <v>54</v>
      </c>
      <c r="I34" s="39">
        <f t="shared" si="6"/>
        <v>819</v>
      </c>
      <c r="J34" s="39">
        <f t="shared" si="7"/>
        <v>337.83749999999998</v>
      </c>
      <c r="K34" s="39">
        <f t="shared" si="8"/>
        <v>481.16250000000002</v>
      </c>
      <c r="L34" s="39">
        <f t="shared" si="9"/>
        <v>674.65124999999989</v>
      </c>
      <c r="M34" s="39">
        <f t="shared" si="11"/>
        <v>1220.4168749999992</v>
      </c>
      <c r="N34" s="39">
        <f t="shared" si="0"/>
        <v>720.41687499999921</v>
      </c>
      <c r="O34" s="42">
        <v>500</v>
      </c>
      <c r="P34" s="40">
        <v>13</v>
      </c>
      <c r="Q34" s="43">
        <f t="shared" si="15"/>
        <v>770</v>
      </c>
      <c r="R34" s="40">
        <f t="shared" si="12"/>
        <v>100</v>
      </c>
      <c r="S34" s="40"/>
      <c r="T34" s="40"/>
    </row>
    <row r="35" spans="1:20" x14ac:dyDescent="0.25">
      <c r="A35" s="38">
        <v>34</v>
      </c>
      <c r="B35" s="39">
        <f t="shared" si="1"/>
        <v>9000</v>
      </c>
      <c r="C35" s="39">
        <f t="shared" si="14"/>
        <v>2500</v>
      </c>
      <c r="D35" s="39">
        <f t="shared" si="2"/>
        <v>225</v>
      </c>
      <c r="E35" s="40">
        <f t="shared" si="13"/>
        <v>6500</v>
      </c>
      <c r="F35" s="39">
        <f t="shared" si="3"/>
        <v>585</v>
      </c>
      <c r="G35" s="39">
        <f t="shared" si="4"/>
        <v>650</v>
      </c>
      <c r="H35" s="41">
        <f t="shared" si="5"/>
        <v>58.5</v>
      </c>
      <c r="I35" s="39">
        <f t="shared" si="6"/>
        <v>868.5</v>
      </c>
      <c r="J35" s="39">
        <f t="shared" si="7"/>
        <v>358.25624999999997</v>
      </c>
      <c r="K35" s="39">
        <f t="shared" si="8"/>
        <v>510.24375000000003</v>
      </c>
      <c r="L35" s="39">
        <f t="shared" si="9"/>
        <v>715.426875</v>
      </c>
      <c r="M35" s="39">
        <f t="shared" si="11"/>
        <v>1435.8437499999991</v>
      </c>
      <c r="N35" s="39">
        <f t="shared" si="0"/>
        <v>435.84374999999909</v>
      </c>
      <c r="O35" s="42">
        <v>1000</v>
      </c>
      <c r="P35" s="40" t="s">
        <v>20</v>
      </c>
      <c r="Q35" s="43">
        <f t="shared" si="15"/>
        <v>545</v>
      </c>
      <c r="R35" s="40">
        <f t="shared" si="12"/>
        <v>200</v>
      </c>
      <c r="S35" s="40"/>
      <c r="T35" s="40"/>
    </row>
    <row r="36" spans="1:20" x14ac:dyDescent="0.25">
      <c r="A36" s="38">
        <v>35</v>
      </c>
      <c r="B36" s="39">
        <f t="shared" si="1"/>
        <v>10000</v>
      </c>
      <c r="C36" s="39">
        <f t="shared" si="14"/>
        <v>2500</v>
      </c>
      <c r="D36" s="39">
        <f t="shared" si="2"/>
        <v>225</v>
      </c>
      <c r="E36" s="40">
        <f t="shared" si="13"/>
        <v>7500</v>
      </c>
      <c r="F36" s="39">
        <f t="shared" si="3"/>
        <v>675</v>
      </c>
      <c r="G36" s="39">
        <f t="shared" si="4"/>
        <v>750</v>
      </c>
      <c r="H36" s="41">
        <f t="shared" si="5"/>
        <v>67.5</v>
      </c>
      <c r="I36" s="39">
        <f t="shared" si="6"/>
        <v>967.5</v>
      </c>
      <c r="J36" s="39">
        <f t="shared" si="7"/>
        <v>399.09375</v>
      </c>
      <c r="K36" s="39">
        <f t="shared" si="8"/>
        <v>568.40625</v>
      </c>
      <c r="L36" s="39">
        <f t="shared" si="9"/>
        <v>796.97812499999998</v>
      </c>
      <c r="M36" s="39">
        <f t="shared" si="11"/>
        <v>1232.8218749999992</v>
      </c>
      <c r="N36" s="39">
        <f t="shared" si="0"/>
        <v>1232.8218749999992</v>
      </c>
      <c r="O36" s="42">
        <v>0</v>
      </c>
      <c r="P36" s="40">
        <v>0</v>
      </c>
      <c r="Q36" s="43">
        <f t="shared" si="15"/>
        <v>320</v>
      </c>
      <c r="R36" s="40">
        <f t="shared" si="12"/>
        <v>0</v>
      </c>
      <c r="S36" s="40"/>
      <c r="T36" s="40">
        <f>+(R24+R25+R26+R27+R28+R29+R30+R31+R32+R33+R34+R35+R36)*0.7</f>
        <v>770</v>
      </c>
    </row>
    <row r="37" spans="1:20" x14ac:dyDescent="0.25">
      <c r="A37" s="32">
        <v>36</v>
      </c>
      <c r="B37" s="33">
        <f t="shared" si="1"/>
        <v>12000</v>
      </c>
      <c r="C37" s="33">
        <f>1000+1500+2000</f>
        <v>4500</v>
      </c>
      <c r="D37" s="33">
        <f t="shared" si="2"/>
        <v>405</v>
      </c>
      <c r="E37" s="34">
        <f t="shared" si="13"/>
        <v>7500</v>
      </c>
      <c r="F37" s="33">
        <f t="shared" si="3"/>
        <v>675</v>
      </c>
      <c r="G37" s="33">
        <f t="shared" si="4"/>
        <v>750</v>
      </c>
      <c r="H37" s="35">
        <f t="shared" si="5"/>
        <v>67.5</v>
      </c>
      <c r="I37" s="33">
        <f t="shared" si="6"/>
        <v>1147.5</v>
      </c>
      <c r="J37" s="33">
        <f t="shared" si="7"/>
        <v>473.34375</v>
      </c>
      <c r="K37" s="33">
        <f t="shared" si="8"/>
        <v>674.15625</v>
      </c>
      <c r="L37" s="33">
        <f t="shared" si="9"/>
        <v>945.25312499999995</v>
      </c>
      <c r="M37" s="33">
        <f t="shared" si="11"/>
        <v>2178.0749999999989</v>
      </c>
      <c r="N37" s="33">
        <f>+(M37-O37)-T37</f>
        <v>348.07499999999891</v>
      </c>
      <c r="O37" s="36">
        <v>500</v>
      </c>
      <c r="P37" s="34">
        <v>16</v>
      </c>
      <c r="Q37" s="37">
        <f>(Q36-D36)+4000</f>
        <v>4095</v>
      </c>
      <c r="R37" s="34">
        <f t="shared" si="12"/>
        <v>100</v>
      </c>
      <c r="S37" s="34" t="s">
        <v>21</v>
      </c>
      <c r="T37" s="34">
        <f>1330</f>
        <v>1330</v>
      </c>
    </row>
    <row r="38" spans="1:20" x14ac:dyDescent="0.25">
      <c r="A38" s="44">
        <v>37</v>
      </c>
      <c r="B38" s="45">
        <f t="shared" si="1"/>
        <v>12500</v>
      </c>
      <c r="C38" s="45">
        <f t="shared" ref="C38:C49" si="16">1000+1500+2000</f>
        <v>4500</v>
      </c>
      <c r="D38" s="45">
        <f t="shared" si="2"/>
        <v>405</v>
      </c>
      <c r="E38" s="46">
        <f t="shared" si="13"/>
        <v>8000</v>
      </c>
      <c r="F38" s="45">
        <f t="shared" si="3"/>
        <v>720</v>
      </c>
      <c r="G38" s="45">
        <f t="shared" si="4"/>
        <v>800</v>
      </c>
      <c r="H38" s="47">
        <f t="shared" si="5"/>
        <v>72</v>
      </c>
      <c r="I38" s="45">
        <f t="shared" si="6"/>
        <v>1197</v>
      </c>
      <c r="J38" s="45">
        <f t="shared" si="7"/>
        <v>493.76249999999999</v>
      </c>
      <c r="K38" s="45">
        <f t="shared" si="8"/>
        <v>703.23750000000007</v>
      </c>
      <c r="L38" s="45">
        <f t="shared" si="9"/>
        <v>986.02874999999995</v>
      </c>
      <c r="M38" s="45">
        <f t="shared" si="11"/>
        <v>1334.1037499999989</v>
      </c>
      <c r="N38" s="45">
        <f t="shared" si="0"/>
        <v>334.10374999999885</v>
      </c>
      <c r="O38" s="48">
        <v>1000</v>
      </c>
      <c r="P38" s="46" t="s">
        <v>22</v>
      </c>
      <c r="Q38" s="49">
        <f t="shared" si="15"/>
        <v>3690</v>
      </c>
      <c r="R38" s="46">
        <f t="shared" si="12"/>
        <v>200</v>
      </c>
      <c r="S38" s="46"/>
      <c r="T38" s="46"/>
    </row>
    <row r="39" spans="1:20" x14ac:dyDescent="0.25">
      <c r="A39" s="44">
        <v>38</v>
      </c>
      <c r="B39" s="45">
        <f t="shared" si="1"/>
        <v>13500</v>
      </c>
      <c r="C39" s="45">
        <f t="shared" si="16"/>
        <v>4500</v>
      </c>
      <c r="D39" s="45">
        <f t="shared" si="2"/>
        <v>405</v>
      </c>
      <c r="E39" s="46">
        <f t="shared" si="13"/>
        <v>9000</v>
      </c>
      <c r="F39" s="45">
        <f t="shared" si="3"/>
        <v>810</v>
      </c>
      <c r="G39" s="45">
        <f t="shared" si="4"/>
        <v>900</v>
      </c>
      <c r="H39" s="47">
        <f t="shared" si="5"/>
        <v>81</v>
      </c>
      <c r="I39" s="45">
        <f t="shared" si="6"/>
        <v>1296</v>
      </c>
      <c r="J39" s="45">
        <f t="shared" si="7"/>
        <v>534.6</v>
      </c>
      <c r="K39" s="45">
        <f t="shared" si="8"/>
        <v>761.4</v>
      </c>
      <c r="L39" s="45">
        <f t="shared" si="9"/>
        <v>1067.58</v>
      </c>
      <c r="M39" s="45">
        <f t="shared" si="11"/>
        <v>1401.6837499999988</v>
      </c>
      <c r="N39" s="45">
        <f t="shared" si="0"/>
        <v>401.68374999999878</v>
      </c>
      <c r="O39" s="48">
        <v>1000</v>
      </c>
      <c r="P39" s="46" t="s">
        <v>23</v>
      </c>
      <c r="Q39" s="49">
        <f t="shared" si="15"/>
        <v>3285</v>
      </c>
      <c r="R39" s="46">
        <f t="shared" si="12"/>
        <v>200</v>
      </c>
      <c r="S39" s="46"/>
      <c r="T39" s="46"/>
    </row>
    <row r="40" spans="1:20" x14ac:dyDescent="0.25">
      <c r="A40" s="44">
        <v>39</v>
      </c>
      <c r="B40" s="45">
        <f t="shared" si="1"/>
        <v>14500</v>
      </c>
      <c r="C40" s="45">
        <f t="shared" si="16"/>
        <v>4500</v>
      </c>
      <c r="D40" s="45">
        <f t="shared" si="2"/>
        <v>405</v>
      </c>
      <c r="E40" s="46">
        <f t="shared" si="13"/>
        <v>10000</v>
      </c>
      <c r="F40" s="45">
        <f t="shared" si="3"/>
        <v>900</v>
      </c>
      <c r="G40" s="45">
        <f t="shared" si="4"/>
        <v>1000</v>
      </c>
      <c r="H40" s="47">
        <f t="shared" si="5"/>
        <v>90</v>
      </c>
      <c r="I40" s="45">
        <f t="shared" si="6"/>
        <v>1395</v>
      </c>
      <c r="J40" s="45">
        <f t="shared" si="7"/>
        <v>575.4375</v>
      </c>
      <c r="K40" s="45">
        <f t="shared" si="8"/>
        <v>819.5625</v>
      </c>
      <c r="L40" s="45">
        <f t="shared" si="9"/>
        <v>1149.1312499999999</v>
      </c>
      <c r="M40" s="45">
        <f t="shared" si="11"/>
        <v>1550.8149999999987</v>
      </c>
      <c r="N40" s="45">
        <f t="shared" si="0"/>
        <v>50.81499999999869</v>
      </c>
      <c r="O40" s="48">
        <v>1500</v>
      </c>
      <c r="P40" s="46" t="s">
        <v>24</v>
      </c>
      <c r="Q40" s="49">
        <f t="shared" si="15"/>
        <v>2880</v>
      </c>
      <c r="R40" s="46">
        <f t="shared" si="12"/>
        <v>300</v>
      </c>
      <c r="S40" s="46"/>
      <c r="T40" s="46"/>
    </row>
    <row r="41" spans="1:20" x14ac:dyDescent="0.25">
      <c r="A41" s="44">
        <v>40</v>
      </c>
      <c r="B41" s="45">
        <f t="shared" si="1"/>
        <v>16000</v>
      </c>
      <c r="C41" s="45">
        <f t="shared" si="16"/>
        <v>4500</v>
      </c>
      <c r="D41" s="45">
        <f t="shared" si="2"/>
        <v>405</v>
      </c>
      <c r="E41" s="46">
        <f t="shared" si="13"/>
        <v>11500</v>
      </c>
      <c r="F41" s="45">
        <f t="shared" si="3"/>
        <v>1035</v>
      </c>
      <c r="G41" s="45">
        <f t="shared" si="4"/>
        <v>1150</v>
      </c>
      <c r="H41" s="47">
        <f t="shared" si="5"/>
        <v>103.5</v>
      </c>
      <c r="I41" s="45">
        <f t="shared" si="6"/>
        <v>1543.5</v>
      </c>
      <c r="J41" s="45">
        <f t="shared" si="7"/>
        <v>636.69374999999991</v>
      </c>
      <c r="K41" s="45">
        <f t="shared" si="8"/>
        <v>906.80625000000009</v>
      </c>
      <c r="L41" s="45">
        <f t="shared" si="9"/>
        <v>1271.4581249999999</v>
      </c>
      <c r="M41" s="45">
        <f t="shared" si="11"/>
        <v>1322.2731249999986</v>
      </c>
      <c r="N41" s="45">
        <f t="shared" si="0"/>
        <v>322.27312499999857</v>
      </c>
      <c r="O41" s="48">
        <v>1000</v>
      </c>
      <c r="P41" s="46" t="s">
        <v>25</v>
      </c>
      <c r="Q41" s="49">
        <f t="shared" si="15"/>
        <v>2475</v>
      </c>
      <c r="R41" s="46">
        <f t="shared" si="12"/>
        <v>200</v>
      </c>
      <c r="S41" s="46"/>
      <c r="T41" s="46"/>
    </row>
    <row r="42" spans="1:20" x14ac:dyDescent="0.25">
      <c r="A42" s="44">
        <v>41</v>
      </c>
      <c r="B42" s="45">
        <f t="shared" si="1"/>
        <v>17000</v>
      </c>
      <c r="C42" s="45">
        <f t="shared" si="16"/>
        <v>4500</v>
      </c>
      <c r="D42" s="45">
        <f t="shared" si="2"/>
        <v>405</v>
      </c>
      <c r="E42" s="46">
        <f t="shared" si="13"/>
        <v>12500</v>
      </c>
      <c r="F42" s="45">
        <f t="shared" si="3"/>
        <v>1125</v>
      </c>
      <c r="G42" s="45">
        <f t="shared" si="4"/>
        <v>1250</v>
      </c>
      <c r="H42" s="47">
        <f t="shared" si="5"/>
        <v>112.5</v>
      </c>
      <c r="I42" s="45">
        <f t="shared" si="6"/>
        <v>1642.5</v>
      </c>
      <c r="J42" s="45">
        <f t="shared" si="7"/>
        <v>677.53125</v>
      </c>
      <c r="K42" s="45">
        <f t="shared" si="8"/>
        <v>964.96875</v>
      </c>
      <c r="L42" s="45">
        <f t="shared" si="9"/>
        <v>1353.0093750000001</v>
      </c>
      <c r="M42" s="45">
        <f t="shared" si="11"/>
        <v>1675.2824999999987</v>
      </c>
      <c r="N42" s="45">
        <f t="shared" si="0"/>
        <v>175.28249999999866</v>
      </c>
      <c r="O42" s="48">
        <v>1500</v>
      </c>
      <c r="P42" s="46" t="s">
        <v>26</v>
      </c>
      <c r="Q42" s="49">
        <f t="shared" si="15"/>
        <v>2070</v>
      </c>
      <c r="R42" s="46">
        <f t="shared" si="12"/>
        <v>300</v>
      </c>
      <c r="S42" s="46"/>
      <c r="T42" s="46"/>
    </row>
    <row r="43" spans="1:20" x14ac:dyDescent="0.25">
      <c r="A43" s="44">
        <v>42</v>
      </c>
      <c r="B43" s="45">
        <f t="shared" si="1"/>
        <v>18500</v>
      </c>
      <c r="C43" s="45">
        <f t="shared" si="16"/>
        <v>4500</v>
      </c>
      <c r="D43" s="45">
        <f t="shared" si="2"/>
        <v>405</v>
      </c>
      <c r="E43" s="46">
        <f t="shared" si="13"/>
        <v>14000</v>
      </c>
      <c r="F43" s="45">
        <f t="shared" si="3"/>
        <v>1260</v>
      </c>
      <c r="G43" s="45">
        <f t="shared" si="4"/>
        <v>1400</v>
      </c>
      <c r="H43" s="47">
        <f t="shared" si="5"/>
        <v>126</v>
      </c>
      <c r="I43" s="45">
        <f t="shared" si="6"/>
        <v>1791</v>
      </c>
      <c r="J43" s="45">
        <f t="shared" si="7"/>
        <v>738.78749999999991</v>
      </c>
      <c r="K43" s="45">
        <f t="shared" si="8"/>
        <v>1052.2125000000001</v>
      </c>
      <c r="L43" s="45">
        <f t="shared" si="9"/>
        <v>1475.3362499999998</v>
      </c>
      <c r="M43" s="45">
        <f t="shared" si="11"/>
        <v>1650.6187499999985</v>
      </c>
      <c r="N43" s="45">
        <f t="shared" si="0"/>
        <v>150.6187499999985</v>
      </c>
      <c r="O43" s="48">
        <v>1500</v>
      </c>
      <c r="P43" s="46" t="s">
        <v>27</v>
      </c>
      <c r="Q43" s="49">
        <f t="shared" si="15"/>
        <v>1665</v>
      </c>
      <c r="R43" s="46">
        <f t="shared" si="12"/>
        <v>300</v>
      </c>
      <c r="S43" s="46"/>
      <c r="T43" s="46"/>
    </row>
    <row r="44" spans="1:20" x14ac:dyDescent="0.25">
      <c r="A44" s="44">
        <v>43</v>
      </c>
      <c r="B44" s="45">
        <f t="shared" si="1"/>
        <v>20000</v>
      </c>
      <c r="C44" s="45">
        <f t="shared" si="16"/>
        <v>4500</v>
      </c>
      <c r="D44" s="45">
        <f t="shared" si="2"/>
        <v>405</v>
      </c>
      <c r="E44" s="46">
        <f t="shared" si="13"/>
        <v>15500</v>
      </c>
      <c r="F44" s="45">
        <f t="shared" si="3"/>
        <v>1395</v>
      </c>
      <c r="G44" s="45">
        <f t="shared" si="4"/>
        <v>1550</v>
      </c>
      <c r="H44" s="47">
        <f t="shared" si="5"/>
        <v>139.5</v>
      </c>
      <c r="I44" s="45">
        <f t="shared" si="6"/>
        <v>1939.5</v>
      </c>
      <c r="J44" s="45">
        <f t="shared" si="7"/>
        <v>800.04374999999993</v>
      </c>
      <c r="K44" s="45">
        <f t="shared" si="8"/>
        <v>1139.45625</v>
      </c>
      <c r="L44" s="45">
        <f t="shared" si="9"/>
        <v>1597.6631249999998</v>
      </c>
      <c r="M44" s="45">
        <f t="shared" si="11"/>
        <v>1748.2818749999983</v>
      </c>
      <c r="N44" s="45">
        <f t="shared" si="0"/>
        <v>248.28187499999831</v>
      </c>
      <c r="O44" s="48">
        <v>1500</v>
      </c>
      <c r="P44" s="46" t="s">
        <v>28</v>
      </c>
      <c r="Q44" s="49">
        <f t="shared" si="15"/>
        <v>1260</v>
      </c>
      <c r="R44" s="46">
        <f t="shared" si="12"/>
        <v>300</v>
      </c>
      <c r="S44" s="46"/>
      <c r="T44" s="46"/>
    </row>
    <row r="45" spans="1:20" x14ac:dyDescent="0.25">
      <c r="A45" s="44">
        <v>44</v>
      </c>
      <c r="B45" s="45">
        <f t="shared" si="1"/>
        <v>21500</v>
      </c>
      <c r="C45" s="45">
        <f t="shared" si="16"/>
        <v>4500</v>
      </c>
      <c r="D45" s="45">
        <f t="shared" si="2"/>
        <v>405</v>
      </c>
      <c r="E45" s="46">
        <f t="shared" si="13"/>
        <v>17000</v>
      </c>
      <c r="F45" s="45">
        <f t="shared" si="3"/>
        <v>1530</v>
      </c>
      <c r="G45" s="45">
        <f t="shared" si="4"/>
        <v>1700</v>
      </c>
      <c r="H45" s="47">
        <f t="shared" si="5"/>
        <v>153</v>
      </c>
      <c r="I45" s="45">
        <f t="shared" si="6"/>
        <v>2088</v>
      </c>
      <c r="J45" s="45">
        <f t="shared" si="7"/>
        <v>861.3</v>
      </c>
      <c r="K45" s="45">
        <f t="shared" si="8"/>
        <v>1226.7</v>
      </c>
      <c r="L45" s="45">
        <f t="shared" si="9"/>
        <v>1719.9899999999998</v>
      </c>
      <c r="M45" s="45">
        <f t="shared" si="11"/>
        <v>1968.2718749999981</v>
      </c>
      <c r="N45" s="45">
        <f t="shared" si="0"/>
        <v>468.27187499999809</v>
      </c>
      <c r="O45" s="48">
        <v>1500</v>
      </c>
      <c r="P45" s="46" t="s">
        <v>29</v>
      </c>
      <c r="Q45" s="49">
        <f t="shared" si="15"/>
        <v>855</v>
      </c>
      <c r="R45" s="46">
        <f t="shared" si="12"/>
        <v>300</v>
      </c>
      <c r="S45" s="46"/>
      <c r="T45" s="46"/>
    </row>
    <row r="46" spans="1:20" x14ac:dyDescent="0.25">
      <c r="A46" s="44">
        <v>45</v>
      </c>
      <c r="B46" s="45">
        <f t="shared" si="1"/>
        <v>23000</v>
      </c>
      <c r="C46" s="45">
        <f t="shared" si="16"/>
        <v>4500</v>
      </c>
      <c r="D46" s="45">
        <f t="shared" si="2"/>
        <v>405</v>
      </c>
      <c r="E46" s="46">
        <f t="shared" si="13"/>
        <v>18500</v>
      </c>
      <c r="F46" s="45">
        <f t="shared" si="3"/>
        <v>1665</v>
      </c>
      <c r="G46" s="45">
        <f t="shared" si="4"/>
        <v>1850</v>
      </c>
      <c r="H46" s="47">
        <f t="shared" si="5"/>
        <v>166.5</v>
      </c>
      <c r="I46" s="45">
        <f t="shared" si="6"/>
        <v>2236.5</v>
      </c>
      <c r="J46" s="45">
        <f t="shared" si="7"/>
        <v>922.55624999999998</v>
      </c>
      <c r="K46" s="45">
        <f t="shared" si="8"/>
        <v>1313.9437500000001</v>
      </c>
      <c r="L46" s="45">
        <f t="shared" si="9"/>
        <v>1842.316875</v>
      </c>
      <c r="M46" s="45">
        <f t="shared" si="11"/>
        <v>2310.5887499999981</v>
      </c>
      <c r="N46" s="45">
        <f t="shared" si="0"/>
        <v>310.58874999999807</v>
      </c>
      <c r="O46" s="48">
        <v>2000</v>
      </c>
      <c r="P46" s="46" t="s">
        <v>30</v>
      </c>
      <c r="Q46" s="49">
        <f t="shared" si="15"/>
        <v>450</v>
      </c>
      <c r="R46" s="46">
        <f t="shared" si="12"/>
        <v>400</v>
      </c>
      <c r="S46" s="46"/>
      <c r="T46" s="46">
        <f>+(R37+R38+R39+R40+R41+R42+R43+R44+R45)*0.7</f>
        <v>1540</v>
      </c>
    </row>
    <row r="47" spans="1:20" x14ac:dyDescent="0.25">
      <c r="A47" s="32">
        <v>46</v>
      </c>
      <c r="B47" s="33">
        <f t="shared" si="1"/>
        <v>28000</v>
      </c>
      <c r="C47" s="33">
        <f>1000+1500+2000+3000</f>
        <v>7500</v>
      </c>
      <c r="D47" s="33">
        <f t="shared" si="2"/>
        <v>675</v>
      </c>
      <c r="E47" s="34">
        <f t="shared" si="13"/>
        <v>20500</v>
      </c>
      <c r="F47" s="33">
        <f t="shared" si="3"/>
        <v>1845</v>
      </c>
      <c r="G47" s="33">
        <f t="shared" si="4"/>
        <v>2050</v>
      </c>
      <c r="H47" s="35">
        <f t="shared" si="5"/>
        <v>184.5</v>
      </c>
      <c r="I47" s="33">
        <f t="shared" si="6"/>
        <v>2704.5</v>
      </c>
      <c r="J47" s="33">
        <f t="shared" si="7"/>
        <v>1115.60625</v>
      </c>
      <c r="K47" s="33">
        <f t="shared" si="8"/>
        <v>1588.89375</v>
      </c>
      <c r="L47" s="33">
        <f t="shared" si="9"/>
        <v>2227.8318749999999</v>
      </c>
      <c r="M47" s="33">
        <f t="shared" si="11"/>
        <v>2538.4206249999979</v>
      </c>
      <c r="N47" s="33">
        <f>+(M47-O47)-T47</f>
        <v>78.420624999997926</v>
      </c>
      <c r="O47" s="36">
        <v>1000</v>
      </c>
      <c r="P47" s="34" t="s">
        <v>31</v>
      </c>
      <c r="Q47" s="37">
        <f>(Q46-D46)+6000</f>
        <v>6045</v>
      </c>
      <c r="R47" s="34">
        <f t="shared" si="12"/>
        <v>200</v>
      </c>
      <c r="S47" s="34" t="s">
        <v>32</v>
      </c>
      <c r="T47" s="34">
        <f>3000-T46</f>
        <v>1460</v>
      </c>
    </row>
    <row r="48" spans="1:20" x14ac:dyDescent="0.25">
      <c r="A48" s="44">
        <v>47</v>
      </c>
      <c r="B48" s="45">
        <f t="shared" si="1"/>
        <v>29000</v>
      </c>
      <c r="C48" s="45">
        <f t="shared" ref="C48:C49" si="17">1000+1500+2000+3000</f>
        <v>7500</v>
      </c>
      <c r="D48" s="45">
        <f t="shared" si="2"/>
        <v>675</v>
      </c>
      <c r="E48" s="46">
        <f t="shared" si="13"/>
        <v>21500</v>
      </c>
      <c r="F48" s="45">
        <f t="shared" si="3"/>
        <v>1935</v>
      </c>
      <c r="G48" s="45">
        <f t="shared" si="4"/>
        <v>2150</v>
      </c>
      <c r="H48" s="47">
        <f t="shared" si="5"/>
        <v>193.5</v>
      </c>
      <c r="I48" s="45">
        <f t="shared" si="6"/>
        <v>2803.5</v>
      </c>
      <c r="J48" s="45">
        <f t="shared" si="7"/>
        <v>1156.4437499999999</v>
      </c>
      <c r="K48" s="45">
        <f t="shared" si="8"/>
        <v>1647.0562500000001</v>
      </c>
      <c r="L48" s="45">
        <f t="shared" si="9"/>
        <v>2309.3831249999998</v>
      </c>
      <c r="M48" s="45">
        <f t="shared" si="11"/>
        <v>2387.8037499999978</v>
      </c>
      <c r="N48" s="45">
        <f t="shared" si="0"/>
        <v>387.80374999999776</v>
      </c>
      <c r="O48" s="48">
        <v>2000</v>
      </c>
      <c r="P48" s="46" t="s">
        <v>33</v>
      </c>
      <c r="Q48" s="49">
        <f t="shared" si="15"/>
        <v>5370</v>
      </c>
      <c r="R48" s="46">
        <f t="shared" si="12"/>
        <v>400</v>
      </c>
      <c r="S48" s="46"/>
      <c r="T48" s="46"/>
    </row>
    <row r="49" spans="1:20" x14ac:dyDescent="0.25">
      <c r="A49" s="44">
        <v>48</v>
      </c>
      <c r="B49" s="45">
        <f t="shared" si="1"/>
        <v>31000</v>
      </c>
      <c r="C49" s="45">
        <f t="shared" si="17"/>
        <v>7500</v>
      </c>
      <c r="D49" s="45">
        <f t="shared" si="2"/>
        <v>675</v>
      </c>
      <c r="E49" s="46">
        <f t="shared" si="13"/>
        <v>23500</v>
      </c>
      <c r="F49" s="45">
        <f t="shared" si="3"/>
        <v>2115</v>
      </c>
      <c r="G49" s="45">
        <f t="shared" si="4"/>
        <v>2350</v>
      </c>
      <c r="H49" s="47">
        <f t="shared" si="5"/>
        <v>211.5</v>
      </c>
      <c r="I49" s="45">
        <f t="shared" si="6"/>
        <v>3001.5</v>
      </c>
      <c r="J49" s="45">
        <f t="shared" si="7"/>
        <v>1238.1187499999999</v>
      </c>
      <c r="K49" s="45">
        <f t="shared" si="8"/>
        <v>1763.3812500000001</v>
      </c>
      <c r="L49" s="45">
        <f t="shared" si="9"/>
        <v>2472.4856249999998</v>
      </c>
      <c r="M49" s="45">
        <f t="shared" si="11"/>
        <v>2860.2893749999976</v>
      </c>
      <c r="N49" s="45">
        <f t="shared" si="0"/>
        <v>360.28937499999756</v>
      </c>
      <c r="O49" s="48">
        <v>2500</v>
      </c>
      <c r="P49" s="46" t="s">
        <v>34</v>
      </c>
      <c r="Q49" s="49">
        <f t="shared" si="15"/>
        <v>4695</v>
      </c>
      <c r="R49" s="46">
        <f t="shared" si="12"/>
        <v>500</v>
      </c>
      <c r="S49" s="46"/>
      <c r="T49" s="46"/>
    </row>
    <row r="50" spans="1:20" s="55" customFormat="1" x14ac:dyDescent="0.25">
      <c r="A50" s="50"/>
      <c r="B50" s="50"/>
      <c r="C50" s="50"/>
      <c r="D50" s="50" t="s">
        <v>35</v>
      </c>
      <c r="E50" s="51">
        <f>52*500</f>
        <v>26000</v>
      </c>
      <c r="F50" s="50">
        <v>0</v>
      </c>
      <c r="G50" s="50">
        <v>0</v>
      </c>
      <c r="H50" s="52">
        <v>0</v>
      </c>
      <c r="I50" s="50"/>
      <c r="J50" s="50"/>
      <c r="K50" s="50"/>
      <c r="L50" s="50" t="s">
        <v>11</v>
      </c>
      <c r="M50" s="53">
        <f>SUM(M2:M49)</f>
        <v>46678.562499999978</v>
      </c>
      <c r="N50" s="54"/>
      <c r="O50" s="50" t="s">
        <v>36</v>
      </c>
      <c r="P50" s="51">
        <v>52</v>
      </c>
      <c r="Q50" s="50" t="s">
        <v>37</v>
      </c>
      <c r="R50" s="53">
        <f>SUM(R2:R49)</f>
        <v>5200</v>
      </c>
      <c r="S50" s="50"/>
      <c r="T50" s="50"/>
    </row>
    <row r="51" spans="1:20" s="56" customFormat="1" ht="15.75" thickBot="1" x14ac:dyDescent="0.3">
      <c r="H51" s="57"/>
      <c r="L51" s="58"/>
      <c r="M51" s="58"/>
      <c r="N51" s="59"/>
      <c r="O51" s="58"/>
      <c r="P51" s="58"/>
      <c r="R51" s="58"/>
    </row>
    <row r="52" spans="1:20" ht="21.75" customHeight="1" x14ac:dyDescent="0.35">
      <c r="A52" s="60" t="s">
        <v>38</v>
      </c>
      <c r="B52" s="61"/>
      <c r="C52" s="61"/>
      <c r="D52" s="61"/>
      <c r="E52" s="61"/>
      <c r="F52" s="61"/>
      <c r="G52" s="61"/>
      <c r="H52" s="62"/>
      <c r="I52" s="61"/>
      <c r="J52" s="61"/>
      <c r="K52" s="61"/>
      <c r="L52" s="63"/>
      <c r="M52" s="63"/>
      <c r="N52" s="64"/>
      <c r="O52" s="63"/>
      <c r="P52" s="63"/>
      <c r="Q52" s="61"/>
      <c r="R52" s="65"/>
      <c r="T52" s="66" t="s">
        <v>39</v>
      </c>
    </row>
    <row r="53" spans="1:20" ht="18.75" customHeight="1" x14ac:dyDescent="0.35">
      <c r="A53" s="67" t="s">
        <v>40</v>
      </c>
      <c r="B53" s="68"/>
      <c r="C53" s="68"/>
      <c r="D53" s="68"/>
      <c r="E53" s="68"/>
      <c r="F53" s="68"/>
      <c r="G53" s="68"/>
      <c r="H53" s="69"/>
      <c r="I53" s="68"/>
      <c r="J53" s="68"/>
      <c r="K53" s="68"/>
      <c r="L53" s="70"/>
      <c r="M53" s="70"/>
      <c r="N53" s="71"/>
      <c r="O53" s="70"/>
      <c r="P53" s="70"/>
      <c r="Q53" s="68"/>
      <c r="R53" s="72"/>
      <c r="T53" s="10" t="s">
        <v>41</v>
      </c>
    </row>
    <row r="54" spans="1:20" ht="18.75" customHeight="1" x14ac:dyDescent="0.35">
      <c r="A54" s="67" t="s">
        <v>42</v>
      </c>
      <c r="B54" s="68"/>
      <c r="C54" s="68"/>
      <c r="D54" s="68"/>
      <c r="E54" s="68"/>
      <c r="F54" s="68"/>
      <c r="G54" s="68"/>
      <c r="H54" s="69"/>
      <c r="I54" s="68"/>
      <c r="J54" s="68"/>
      <c r="K54" s="68"/>
      <c r="L54" s="70"/>
      <c r="M54" s="70"/>
      <c r="N54" s="71"/>
      <c r="O54" s="70"/>
      <c r="P54" s="70"/>
      <c r="Q54" s="68"/>
      <c r="R54" s="72"/>
      <c r="T54" s="10">
        <v>7418485677</v>
      </c>
    </row>
    <row r="55" spans="1:20" ht="18.75" customHeight="1" x14ac:dyDescent="0.35">
      <c r="A55" s="67" t="s">
        <v>43</v>
      </c>
      <c r="B55" s="68"/>
      <c r="C55" s="68"/>
      <c r="D55" s="68"/>
      <c r="E55" s="68"/>
      <c r="F55" s="68"/>
      <c r="G55" s="68"/>
      <c r="H55" s="69"/>
      <c r="I55" s="68"/>
      <c r="J55" s="68"/>
      <c r="K55" s="68"/>
      <c r="L55" s="70"/>
      <c r="M55" s="70"/>
      <c r="N55" s="71"/>
      <c r="O55" s="70"/>
      <c r="P55" s="70"/>
      <c r="Q55" s="68"/>
      <c r="R55" s="72"/>
    </row>
    <row r="56" spans="1:20" ht="21" customHeight="1" x14ac:dyDescent="0.35">
      <c r="A56" s="67" t="s">
        <v>44</v>
      </c>
      <c r="B56" s="68"/>
      <c r="C56" s="68"/>
      <c r="D56" s="68"/>
      <c r="E56" s="68"/>
      <c r="F56" s="68"/>
      <c r="G56" s="68"/>
      <c r="H56" s="69"/>
      <c r="I56" s="68"/>
      <c r="J56" s="68"/>
      <c r="K56" s="68"/>
      <c r="L56" s="70"/>
      <c r="M56" s="70"/>
      <c r="N56" s="71"/>
      <c r="O56" s="70"/>
      <c r="P56" s="70"/>
      <c r="Q56" s="68"/>
      <c r="R56" s="72"/>
    </row>
    <row r="57" spans="1:20" ht="18.75" customHeight="1" x14ac:dyDescent="0.35">
      <c r="A57" s="67" t="s">
        <v>45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73"/>
    </row>
    <row r="58" spans="1:20" ht="20.25" customHeight="1" x14ac:dyDescent="0.35">
      <c r="A58" s="67" t="s">
        <v>46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73"/>
    </row>
    <row r="59" spans="1:20" ht="21" customHeight="1" thickBot="1" x14ac:dyDescent="0.4">
      <c r="A59" s="74" t="s">
        <v>47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6"/>
    </row>
    <row r="60" spans="1:20" x14ac:dyDescent="0.25">
      <c r="H60"/>
      <c r="L60"/>
      <c r="M60"/>
      <c r="N60"/>
      <c r="O60"/>
      <c r="P60"/>
      <c r="R60"/>
    </row>
    <row r="61" spans="1:20" x14ac:dyDescent="0.25">
      <c r="H61"/>
      <c r="L61"/>
      <c r="M61"/>
      <c r="N61"/>
      <c r="O61"/>
      <c r="P61"/>
      <c r="R61"/>
    </row>
    <row r="62" spans="1:20" x14ac:dyDescent="0.25">
      <c r="H62"/>
      <c r="L62"/>
      <c r="M62"/>
      <c r="N62"/>
      <c r="O62"/>
      <c r="P62"/>
      <c r="R62"/>
    </row>
    <row r="63" spans="1:20" x14ac:dyDescent="0.25">
      <c r="H63"/>
      <c r="L63"/>
      <c r="M63"/>
      <c r="N63"/>
      <c r="O63"/>
      <c r="P63"/>
      <c r="R63"/>
    </row>
    <row r="64" spans="1:20" x14ac:dyDescent="0.25">
      <c r="H64"/>
      <c r="L64"/>
      <c r="M64"/>
      <c r="N64"/>
      <c r="O64"/>
      <c r="P64"/>
      <c r="R64"/>
    </row>
    <row r="65" spans="8:18" x14ac:dyDescent="0.25">
      <c r="H65"/>
      <c r="L65"/>
      <c r="M65"/>
      <c r="N65"/>
      <c r="O65"/>
      <c r="P65"/>
      <c r="R65"/>
    </row>
    <row r="66" spans="8:18" x14ac:dyDescent="0.25">
      <c r="H66"/>
      <c r="L66"/>
      <c r="M66"/>
      <c r="N66"/>
      <c r="O66"/>
      <c r="P66"/>
      <c r="R66"/>
    </row>
  </sheetData>
  <mergeCells count="1">
    <mergeCell ref="S1:T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USDX 1000-5050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</dc:creator>
  <cp:lastModifiedBy>USHA</cp:lastModifiedBy>
  <dcterms:created xsi:type="dcterms:W3CDTF">2026-01-06T23:05:13Z</dcterms:created>
  <dcterms:modified xsi:type="dcterms:W3CDTF">2026-01-06T23:05:52Z</dcterms:modified>
</cp:coreProperties>
</file>