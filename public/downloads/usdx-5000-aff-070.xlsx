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9875" windowHeight="7455"/>
  </bookViews>
  <sheets>
    <sheet name="USDX 5000-AFF-0.70$" sheetId="2" r:id="rId1"/>
  </sheets>
  <calcPr calcId="144525"/>
</workbook>
</file>

<file path=xl/calcChain.xml><?xml version="1.0" encoding="utf-8"?>
<calcChain xmlns="http://schemas.openxmlformats.org/spreadsheetml/2006/main">
  <c r="M38" i="2" l="1"/>
  <c r="BB37" i="2"/>
  <c r="BA37" i="2"/>
  <c r="AZ37" i="2"/>
  <c r="AY37" i="2"/>
  <c r="AX37" i="2"/>
  <c r="BC37" i="2" s="1"/>
  <c r="G37" i="2"/>
  <c r="L37" i="2" s="1"/>
  <c r="F37" i="2"/>
  <c r="K37" i="2" s="1"/>
  <c r="E37" i="2"/>
  <c r="J37" i="2" s="1"/>
  <c r="D37" i="2"/>
  <c r="I37" i="2" s="1"/>
  <c r="C37" i="2"/>
  <c r="H37" i="2" s="1"/>
  <c r="BD36" i="2"/>
  <c r="BB36" i="2"/>
  <c r="BA36" i="2"/>
  <c r="AZ36" i="2"/>
  <c r="AY36" i="2"/>
  <c r="AX36" i="2"/>
  <c r="L36" i="2"/>
  <c r="G36" i="2"/>
  <c r="F36" i="2"/>
  <c r="K36" i="2" s="1"/>
  <c r="E36" i="2"/>
  <c r="J36" i="2" s="1"/>
  <c r="D36" i="2"/>
  <c r="I36" i="2" s="1"/>
  <c r="C36" i="2"/>
  <c r="H36" i="2" s="1"/>
  <c r="BB35" i="2"/>
  <c r="BA35" i="2"/>
  <c r="AZ35" i="2"/>
  <c r="AY35" i="2"/>
  <c r="AX35" i="2"/>
  <c r="K35" i="2"/>
  <c r="G35" i="2"/>
  <c r="L35" i="2" s="1"/>
  <c r="F35" i="2"/>
  <c r="E35" i="2"/>
  <c r="J35" i="2" s="1"/>
  <c r="D35" i="2"/>
  <c r="I35" i="2" s="1"/>
  <c r="C35" i="2"/>
  <c r="BD34" i="2"/>
  <c r="BB34" i="2"/>
  <c r="BA34" i="2"/>
  <c r="AZ34" i="2"/>
  <c r="AY34" i="2"/>
  <c r="AX34" i="2"/>
  <c r="G34" i="2"/>
  <c r="L34" i="2" s="1"/>
  <c r="F34" i="2"/>
  <c r="K34" i="2" s="1"/>
  <c r="E34" i="2"/>
  <c r="J34" i="2" s="1"/>
  <c r="D34" i="2"/>
  <c r="I34" i="2" s="1"/>
  <c r="C34" i="2"/>
  <c r="BD33" i="2"/>
  <c r="BB33" i="2"/>
  <c r="BA33" i="2"/>
  <c r="AZ33" i="2"/>
  <c r="AY33" i="2"/>
  <c r="AX33" i="2"/>
  <c r="G33" i="2"/>
  <c r="L33" i="2" s="1"/>
  <c r="F33" i="2"/>
  <c r="K33" i="2" s="1"/>
  <c r="E33" i="2"/>
  <c r="J33" i="2" s="1"/>
  <c r="D33" i="2"/>
  <c r="I33" i="2" s="1"/>
  <c r="C33" i="2"/>
  <c r="BB32" i="2"/>
  <c r="BA32" i="2"/>
  <c r="AZ32" i="2"/>
  <c r="AY32" i="2"/>
  <c r="AX32" i="2"/>
  <c r="H32" i="2"/>
  <c r="G32" i="2"/>
  <c r="L32" i="2" s="1"/>
  <c r="F32" i="2"/>
  <c r="K32" i="2" s="1"/>
  <c r="E32" i="2"/>
  <c r="J32" i="2" s="1"/>
  <c r="D32" i="2"/>
  <c r="I32" i="2" s="1"/>
  <c r="C32" i="2"/>
  <c r="BD31" i="2"/>
  <c r="BB31" i="2"/>
  <c r="BA31" i="2"/>
  <c r="AZ31" i="2"/>
  <c r="AY31" i="2"/>
  <c r="AX31" i="2"/>
  <c r="L31" i="2"/>
  <c r="G31" i="2"/>
  <c r="F31" i="2"/>
  <c r="K31" i="2" s="1"/>
  <c r="E31" i="2"/>
  <c r="J31" i="2" s="1"/>
  <c r="D31" i="2"/>
  <c r="I31" i="2" s="1"/>
  <c r="C31" i="2"/>
  <c r="H31" i="2" s="1"/>
  <c r="BD30" i="2"/>
  <c r="BB30" i="2"/>
  <c r="BA30" i="2"/>
  <c r="AZ30" i="2"/>
  <c r="AY30" i="2"/>
  <c r="AX30" i="2"/>
  <c r="G30" i="2"/>
  <c r="L30" i="2" s="1"/>
  <c r="F30" i="2"/>
  <c r="K30" i="2" s="1"/>
  <c r="E30" i="2"/>
  <c r="J30" i="2" s="1"/>
  <c r="D30" i="2"/>
  <c r="I30" i="2" s="1"/>
  <c r="C30" i="2"/>
  <c r="H30" i="2" s="1"/>
  <c r="BB29" i="2"/>
  <c r="BA29" i="2"/>
  <c r="AZ29" i="2"/>
  <c r="AY29" i="2"/>
  <c r="AX29" i="2"/>
  <c r="L29" i="2"/>
  <c r="K29" i="2"/>
  <c r="J29" i="2"/>
  <c r="E29" i="2"/>
  <c r="D29" i="2"/>
  <c r="I29" i="2" s="1"/>
  <c r="C29" i="2"/>
  <c r="H29" i="2" s="1"/>
  <c r="BD28" i="2"/>
  <c r="BB28" i="2"/>
  <c r="BA28" i="2"/>
  <c r="AZ28" i="2"/>
  <c r="AY28" i="2"/>
  <c r="AX28" i="2"/>
  <c r="L28" i="2"/>
  <c r="K28" i="2"/>
  <c r="E28" i="2"/>
  <c r="J28" i="2" s="1"/>
  <c r="D28" i="2"/>
  <c r="I28" i="2" s="1"/>
  <c r="C28" i="2"/>
  <c r="H28" i="2" s="1"/>
  <c r="BB27" i="2"/>
  <c r="BA27" i="2"/>
  <c r="AZ27" i="2"/>
  <c r="AY27" i="2"/>
  <c r="AX27" i="2"/>
  <c r="L27" i="2"/>
  <c r="K27" i="2"/>
  <c r="E27" i="2"/>
  <c r="J27" i="2" s="1"/>
  <c r="D27" i="2"/>
  <c r="I27" i="2" s="1"/>
  <c r="C27" i="2"/>
  <c r="H27" i="2" s="1"/>
  <c r="BB26" i="2"/>
  <c r="BA26" i="2"/>
  <c r="AZ26" i="2"/>
  <c r="AY26" i="2"/>
  <c r="AX26" i="2"/>
  <c r="L26" i="2"/>
  <c r="K26" i="2"/>
  <c r="E26" i="2"/>
  <c r="J26" i="2" s="1"/>
  <c r="D26" i="2"/>
  <c r="I26" i="2" s="1"/>
  <c r="C26" i="2"/>
  <c r="H26" i="2" s="1"/>
  <c r="BB25" i="2"/>
  <c r="BA25" i="2"/>
  <c r="AZ25" i="2"/>
  <c r="AY25" i="2"/>
  <c r="AX25" i="2"/>
  <c r="L25" i="2"/>
  <c r="K25" i="2"/>
  <c r="E25" i="2"/>
  <c r="J25" i="2" s="1"/>
  <c r="D25" i="2"/>
  <c r="I25" i="2" s="1"/>
  <c r="C25" i="2"/>
  <c r="BB24" i="2"/>
  <c r="BA24" i="2"/>
  <c r="AZ24" i="2"/>
  <c r="AY24" i="2"/>
  <c r="AX24" i="2"/>
  <c r="L24" i="2"/>
  <c r="K24" i="2"/>
  <c r="J24" i="2"/>
  <c r="E24" i="2"/>
  <c r="D24" i="2"/>
  <c r="I24" i="2" s="1"/>
  <c r="C24" i="2"/>
  <c r="H24" i="2" s="1"/>
  <c r="BB23" i="2"/>
  <c r="BA23" i="2"/>
  <c r="AZ23" i="2"/>
  <c r="AY23" i="2"/>
  <c r="AX23" i="2"/>
  <c r="L23" i="2"/>
  <c r="K23" i="2"/>
  <c r="J23" i="2"/>
  <c r="E23" i="2"/>
  <c r="D23" i="2"/>
  <c r="I23" i="2" s="1"/>
  <c r="C23" i="2"/>
  <c r="H23" i="2" s="1"/>
  <c r="BB22" i="2"/>
  <c r="BA22" i="2"/>
  <c r="AZ22" i="2"/>
  <c r="AY22" i="2"/>
  <c r="BC22" i="2" s="1"/>
  <c r="AX22" i="2"/>
  <c r="L22" i="2"/>
  <c r="K22" i="2"/>
  <c r="I22" i="2"/>
  <c r="E22" i="2"/>
  <c r="J22" i="2" s="1"/>
  <c r="D22" i="2"/>
  <c r="C22" i="2"/>
  <c r="BB21" i="2"/>
  <c r="BA21" i="2"/>
  <c r="AZ21" i="2"/>
  <c r="AY21" i="2"/>
  <c r="AX21" i="2"/>
  <c r="L21" i="2"/>
  <c r="K21" i="2"/>
  <c r="J21" i="2"/>
  <c r="H21" i="2"/>
  <c r="E21" i="2"/>
  <c r="D21" i="2"/>
  <c r="I21" i="2" s="1"/>
  <c r="C21" i="2"/>
  <c r="BB20" i="2"/>
  <c r="BA20" i="2"/>
  <c r="AZ20" i="2"/>
  <c r="AY20" i="2"/>
  <c r="AX20" i="2"/>
  <c r="L20" i="2"/>
  <c r="K20" i="2"/>
  <c r="J20" i="2"/>
  <c r="D20" i="2"/>
  <c r="I20" i="2" s="1"/>
  <c r="C20" i="2"/>
  <c r="BB19" i="2"/>
  <c r="BA19" i="2"/>
  <c r="AZ19" i="2"/>
  <c r="AY19" i="2"/>
  <c r="AX19" i="2"/>
  <c r="L19" i="2"/>
  <c r="K19" i="2"/>
  <c r="J19" i="2"/>
  <c r="D19" i="2"/>
  <c r="I19" i="2" s="1"/>
  <c r="C19" i="2"/>
  <c r="H19" i="2" s="1"/>
  <c r="BB18" i="2"/>
  <c r="BA18" i="2"/>
  <c r="AZ18" i="2"/>
  <c r="AY18" i="2"/>
  <c r="BC18" i="2" s="1"/>
  <c r="AX18" i="2"/>
  <c r="L18" i="2"/>
  <c r="K18" i="2"/>
  <c r="J18" i="2"/>
  <c r="D18" i="2"/>
  <c r="I18" i="2" s="1"/>
  <c r="C18" i="2"/>
  <c r="H18" i="2" s="1"/>
  <c r="BB17" i="2"/>
  <c r="BA17" i="2"/>
  <c r="AZ17" i="2"/>
  <c r="AY17" i="2"/>
  <c r="AX17" i="2"/>
  <c r="L17" i="2"/>
  <c r="K17" i="2"/>
  <c r="J17" i="2"/>
  <c r="I17" i="2"/>
  <c r="D17" i="2"/>
  <c r="C17" i="2"/>
  <c r="H17" i="2" s="1"/>
  <c r="BB16" i="2"/>
  <c r="BA16" i="2"/>
  <c r="AZ16" i="2"/>
  <c r="AY16" i="2"/>
  <c r="AX16" i="2"/>
  <c r="L16" i="2"/>
  <c r="K16" i="2"/>
  <c r="J16" i="2"/>
  <c r="D16" i="2"/>
  <c r="I16" i="2" s="1"/>
  <c r="C16" i="2"/>
  <c r="H16" i="2" s="1"/>
  <c r="BB15" i="2"/>
  <c r="BA15" i="2"/>
  <c r="AZ15" i="2"/>
  <c r="AY15" i="2"/>
  <c r="AX15" i="2"/>
  <c r="L15" i="2"/>
  <c r="K15" i="2"/>
  <c r="J15" i="2"/>
  <c r="D15" i="2"/>
  <c r="I15" i="2" s="1"/>
  <c r="C15" i="2"/>
  <c r="BB14" i="2"/>
  <c r="BA14" i="2"/>
  <c r="AZ14" i="2"/>
  <c r="AY14" i="2"/>
  <c r="AX14" i="2"/>
  <c r="L14" i="2"/>
  <c r="K14" i="2"/>
  <c r="J14" i="2"/>
  <c r="H14" i="2"/>
  <c r="D14" i="2"/>
  <c r="I14" i="2" s="1"/>
  <c r="C14" i="2"/>
  <c r="BB13" i="2"/>
  <c r="BA13" i="2"/>
  <c r="AZ13" i="2"/>
  <c r="AY13" i="2"/>
  <c r="AX13" i="2"/>
  <c r="L13" i="2"/>
  <c r="K13" i="2"/>
  <c r="J13" i="2"/>
  <c r="H13" i="2"/>
  <c r="D13" i="2"/>
  <c r="I13" i="2" s="1"/>
  <c r="C13" i="2"/>
  <c r="BB12" i="2"/>
  <c r="BA12" i="2"/>
  <c r="AZ12" i="2"/>
  <c r="AY12" i="2"/>
  <c r="AX12" i="2"/>
  <c r="L12" i="2"/>
  <c r="K12" i="2"/>
  <c r="J12" i="2"/>
  <c r="D12" i="2"/>
  <c r="I12" i="2" s="1"/>
  <c r="C12" i="2"/>
  <c r="BB11" i="2"/>
  <c r="BA11" i="2"/>
  <c r="AZ11" i="2"/>
  <c r="AY11" i="2"/>
  <c r="AX11" i="2"/>
  <c r="L11" i="2"/>
  <c r="K11" i="2"/>
  <c r="J11" i="2"/>
  <c r="I11" i="2"/>
  <c r="H11" i="2"/>
  <c r="D11" i="2"/>
  <c r="BB10" i="2"/>
  <c r="BA10" i="2"/>
  <c r="AZ10" i="2"/>
  <c r="AY10" i="2"/>
  <c r="AX10" i="2"/>
  <c r="L10" i="2"/>
  <c r="K10" i="2"/>
  <c r="J10" i="2"/>
  <c r="I10" i="2"/>
  <c r="H10" i="2"/>
  <c r="D10" i="2"/>
  <c r="BE9" i="2"/>
  <c r="BB9" i="2"/>
  <c r="BA9" i="2"/>
  <c r="AZ9" i="2"/>
  <c r="AY9" i="2"/>
  <c r="AX9" i="2"/>
  <c r="L9" i="2"/>
  <c r="K9" i="2"/>
  <c r="J9" i="2"/>
  <c r="H9" i="2"/>
  <c r="D9" i="2"/>
  <c r="I9" i="2" s="1"/>
  <c r="BB8" i="2"/>
  <c r="BA8" i="2"/>
  <c r="AZ8" i="2"/>
  <c r="AY8" i="2"/>
  <c r="BC8" i="2" s="1"/>
  <c r="AX8" i="2"/>
  <c r="L8" i="2"/>
  <c r="K8" i="2"/>
  <c r="J8" i="2"/>
  <c r="H8" i="2"/>
  <c r="D8" i="2"/>
  <c r="I8" i="2" s="1"/>
  <c r="BB7" i="2"/>
  <c r="BA7" i="2"/>
  <c r="AZ7" i="2"/>
  <c r="AY7" i="2"/>
  <c r="AX7" i="2"/>
  <c r="L7" i="2"/>
  <c r="K7" i="2"/>
  <c r="J7" i="2"/>
  <c r="I7" i="2"/>
  <c r="H7" i="2"/>
  <c r="BB6" i="2"/>
  <c r="BA6" i="2"/>
  <c r="AZ6" i="2"/>
  <c r="AY6" i="2"/>
  <c r="AX6" i="2"/>
  <c r="L6" i="2"/>
  <c r="K6" i="2"/>
  <c r="J6" i="2"/>
  <c r="I6" i="2"/>
  <c r="H6" i="2"/>
  <c r="BB5" i="2"/>
  <c r="BA5" i="2"/>
  <c r="AZ5" i="2"/>
  <c r="AY5" i="2"/>
  <c r="AX5" i="2"/>
  <c r="L5" i="2"/>
  <c r="K5" i="2"/>
  <c r="J5" i="2"/>
  <c r="I5" i="2"/>
  <c r="H5" i="2"/>
  <c r="BB4" i="2"/>
  <c r="BA4" i="2"/>
  <c r="AZ4" i="2"/>
  <c r="AY4" i="2"/>
  <c r="AX4" i="2"/>
  <c r="L4" i="2"/>
  <c r="K4" i="2"/>
  <c r="J4" i="2"/>
  <c r="I4" i="2"/>
  <c r="H4" i="2"/>
  <c r="BB3" i="2"/>
  <c r="BA3" i="2"/>
  <c r="AZ3" i="2"/>
  <c r="AY3" i="2"/>
  <c r="AX3" i="2"/>
  <c r="U3" i="2"/>
  <c r="M3" i="2"/>
  <c r="L3" i="2"/>
  <c r="K3" i="2"/>
  <c r="J3" i="2"/>
  <c r="I3" i="2"/>
  <c r="H3" i="2"/>
  <c r="BB2" i="2"/>
  <c r="BA2" i="2"/>
  <c r="AZ2" i="2"/>
  <c r="AY2" i="2"/>
  <c r="AX2" i="2"/>
  <c r="W2" i="2"/>
  <c r="R2" i="2"/>
  <c r="Q2" i="2"/>
  <c r="AA2" i="2" s="1"/>
  <c r="AF2" i="2" s="1"/>
  <c r="P2" i="2"/>
  <c r="P3" i="2" s="1"/>
  <c r="O2" i="2"/>
  <c r="Y2" i="2" s="1"/>
  <c r="N2" i="2"/>
  <c r="L2" i="2"/>
  <c r="K2" i="2"/>
  <c r="J2" i="2"/>
  <c r="I2" i="2"/>
  <c r="H2" i="2"/>
  <c r="V2" i="2" l="1"/>
  <c r="BC14" i="2"/>
  <c r="BC16" i="2"/>
  <c r="BC17" i="2"/>
  <c r="BF17" i="2" s="1"/>
  <c r="BG17" i="2" s="1"/>
  <c r="BE18" i="2" s="1"/>
  <c r="BC31" i="2"/>
  <c r="BF31" i="2" s="1"/>
  <c r="BG31" i="2" s="1"/>
  <c r="BE32" i="2" s="1"/>
  <c r="BC3" i="2"/>
  <c r="BC7" i="2"/>
  <c r="BC12" i="2"/>
  <c r="BC13" i="2"/>
  <c r="BC26" i="2"/>
  <c r="T2" i="2"/>
  <c r="Z2" i="2"/>
  <c r="AD2" i="2" s="1"/>
  <c r="Q3" i="2"/>
  <c r="BC6" i="2"/>
  <c r="BC15" i="2"/>
  <c r="BC19" i="2"/>
  <c r="BC24" i="2"/>
  <c r="BF24" i="2" s="1"/>
  <c r="BG24" i="2" s="1"/>
  <c r="BE25" i="2" s="1"/>
  <c r="BC32" i="2"/>
  <c r="BF32" i="2" s="1"/>
  <c r="BG32" i="2" s="1"/>
  <c r="BE33" i="2" s="1"/>
  <c r="BC27" i="2"/>
  <c r="BB38" i="2"/>
  <c r="BC36" i="2"/>
  <c r="BC35" i="2"/>
  <c r="BF35" i="2" s="1"/>
  <c r="BG35" i="2" s="1"/>
  <c r="BE36" i="2" s="1"/>
  <c r="BC10" i="2"/>
  <c r="BC11" i="2"/>
  <c r="AW3" i="2"/>
  <c r="AX38" i="2"/>
  <c r="BC2" i="2"/>
  <c r="BD7" i="2" s="1"/>
  <c r="BE7" i="2" s="1"/>
  <c r="BE8" i="2" s="1"/>
  <c r="X2" i="2"/>
  <c r="N3" i="2"/>
  <c r="S2" i="2"/>
  <c r="AE2" i="2"/>
  <c r="AV3" i="2" s="1"/>
  <c r="BC4" i="2"/>
  <c r="BC5" i="2"/>
  <c r="BC9" i="2"/>
  <c r="M4" i="2"/>
  <c r="B3" i="2"/>
  <c r="R3" i="2"/>
  <c r="P4" i="2"/>
  <c r="Z3" i="2"/>
  <c r="Q4" i="2"/>
  <c r="AA3" i="2"/>
  <c r="AF3" i="2" s="1"/>
  <c r="V3" i="2"/>
  <c r="AY38" i="2"/>
  <c r="H20" i="2"/>
  <c r="H22" i="2"/>
  <c r="H34" i="2"/>
  <c r="AZ38" i="2"/>
  <c r="O3" i="2"/>
  <c r="H12" i="2"/>
  <c r="H15" i="2"/>
  <c r="BC20" i="2"/>
  <c r="BD20" i="2" s="1"/>
  <c r="BE20" i="2" s="1"/>
  <c r="BE21" i="2" s="1"/>
  <c r="U2" i="2"/>
  <c r="BA38" i="2"/>
  <c r="BC21" i="2"/>
  <c r="BF21" i="2" s="1"/>
  <c r="BG21" i="2" s="1"/>
  <c r="BE22" i="2" s="1"/>
  <c r="BC25" i="2"/>
  <c r="BC28" i="2"/>
  <c r="BC23" i="2"/>
  <c r="BD23" i="2" s="1"/>
  <c r="BE23" i="2" s="1"/>
  <c r="BE24" i="2" s="1"/>
  <c r="H25" i="2"/>
  <c r="BC29" i="2"/>
  <c r="BC30" i="2"/>
  <c r="BF30" i="2" s="1"/>
  <c r="BG30" i="2" s="1"/>
  <c r="H33" i="2"/>
  <c r="BC33" i="2"/>
  <c r="BF33" i="2" s="1"/>
  <c r="BG33" i="2" s="1"/>
  <c r="BE34" i="2" s="1"/>
  <c r="H35" i="2"/>
  <c r="BC34" i="2"/>
  <c r="BF34" i="2" s="1"/>
  <c r="BG34" i="2" s="1"/>
  <c r="BE35" i="2" s="1"/>
  <c r="BD11" i="2" l="1"/>
  <c r="BE11" i="2" s="1"/>
  <c r="BE12" i="2" s="1"/>
  <c r="AE3" i="2"/>
  <c r="BD16" i="2"/>
  <c r="BE16" i="2" s="1"/>
  <c r="BE17" i="2" s="1"/>
  <c r="BD27" i="2"/>
  <c r="BE27" i="2" s="1"/>
  <c r="BE28" i="2" s="1"/>
  <c r="T3" i="2"/>
  <c r="O4" i="2"/>
  <c r="Y3" i="2"/>
  <c r="AD3" i="2" s="1"/>
  <c r="AU3" i="2" s="1"/>
  <c r="BD29" i="2"/>
  <c r="BE29" i="2" s="1"/>
  <c r="BE30" i="2" s="1"/>
  <c r="BE31" i="2" s="1"/>
  <c r="X3" i="2"/>
  <c r="S3" i="2"/>
  <c r="N4" i="2"/>
  <c r="BC38" i="2"/>
  <c r="U4" i="2"/>
  <c r="P5" i="2"/>
  <c r="Z4" i="2"/>
  <c r="AC2" i="2"/>
  <c r="AB2" i="2"/>
  <c r="AS3" i="2" s="1"/>
  <c r="AW4" i="2"/>
  <c r="Q5" i="2"/>
  <c r="AA4" i="2"/>
  <c r="AF4" i="2" s="1"/>
  <c r="V4" i="2"/>
  <c r="M5" i="2"/>
  <c r="W4" i="2"/>
  <c r="B4" i="2"/>
  <c r="R4" i="2"/>
  <c r="AV4" i="2"/>
  <c r="W3" i="2"/>
  <c r="AE4" i="2" l="1"/>
  <c r="AV5" i="2"/>
  <c r="AW5" i="2"/>
  <c r="R5" i="2"/>
  <c r="M6" i="2"/>
  <c r="B5" i="2"/>
  <c r="Z5" i="2"/>
  <c r="U5" i="2"/>
  <c r="P6" i="2"/>
  <c r="Y4" i="2"/>
  <c r="AD4" i="2" s="1"/>
  <c r="AU4" i="2" s="1"/>
  <c r="T4" i="2"/>
  <c r="O5" i="2"/>
  <c r="V5" i="2"/>
  <c r="Q6" i="2"/>
  <c r="AA5" i="2"/>
  <c r="AF5" i="2" s="1"/>
  <c r="AW6" i="2" s="1"/>
  <c r="N5" i="2"/>
  <c r="X4" i="2"/>
  <c r="AC4" i="2" s="1"/>
  <c r="S4" i="2"/>
  <c r="AC3" i="2"/>
  <c r="AT3" i="2" s="1"/>
  <c r="AB3" i="2"/>
  <c r="AG2" i="2"/>
  <c r="AE5" i="2" l="1"/>
  <c r="AV6" i="2" s="1"/>
  <c r="AG3" i="2"/>
  <c r="AI3" i="2" s="1"/>
  <c r="AH3" i="2"/>
  <c r="AA6" i="2"/>
  <c r="AF6" i="2" s="1"/>
  <c r="AW7" i="2" s="1"/>
  <c r="V6" i="2"/>
  <c r="Q7" i="2"/>
  <c r="B6" i="2"/>
  <c r="R6" i="2"/>
  <c r="M7" i="2"/>
  <c r="AT4" i="2"/>
  <c r="N6" i="2"/>
  <c r="X5" i="2"/>
  <c r="S5" i="2"/>
  <c r="AB4" i="2"/>
  <c r="AG4" i="2" s="1"/>
  <c r="P7" i="2"/>
  <c r="Z6" i="2"/>
  <c r="AE6" i="2" s="1"/>
  <c r="AV7" i="2" s="1"/>
  <c r="U6" i="2"/>
  <c r="AI2" i="2"/>
  <c r="AH2" i="2"/>
  <c r="AS4" i="2"/>
  <c r="AS5" i="2" s="1"/>
  <c r="O6" i="2"/>
  <c r="Y5" i="2"/>
  <c r="AD5" i="2" s="1"/>
  <c r="AU5" i="2" s="1"/>
  <c r="T5" i="2"/>
  <c r="W5" i="2"/>
  <c r="AB5" i="2" s="1"/>
  <c r="AC5" i="2" l="1"/>
  <c r="AG5" i="2"/>
  <c r="AH5" i="2" s="1"/>
  <c r="AI5" i="2"/>
  <c r="AS6" i="2"/>
  <c r="P8" i="2"/>
  <c r="Z7" i="2"/>
  <c r="U7" i="2"/>
  <c r="S6" i="2"/>
  <c r="N7" i="2"/>
  <c r="X6" i="2"/>
  <c r="AJ2" i="2"/>
  <c r="AK2" i="2" s="1"/>
  <c r="AT5" i="2"/>
  <c r="AJ3" i="2"/>
  <c r="AK3" i="2" s="1"/>
  <c r="AL3" i="2" s="1"/>
  <c r="AI4" i="2"/>
  <c r="AH4" i="2"/>
  <c r="W6" i="2"/>
  <c r="O7" i="2"/>
  <c r="Y6" i="2"/>
  <c r="AD6" i="2" s="1"/>
  <c r="AU6" i="2" s="1"/>
  <c r="T6" i="2"/>
  <c r="M8" i="2"/>
  <c r="W7" i="2"/>
  <c r="B7" i="2"/>
  <c r="R7" i="2"/>
  <c r="Q8" i="2"/>
  <c r="AA7" i="2"/>
  <c r="AF7" i="2" s="1"/>
  <c r="AW8" i="2" s="1"/>
  <c r="V7" i="2"/>
  <c r="AJ5" i="2" l="1"/>
  <c r="AB6" i="2"/>
  <c r="T7" i="2"/>
  <c r="O8" i="2"/>
  <c r="Y7" i="2"/>
  <c r="AD7" i="2" s="1"/>
  <c r="AU7" i="2" s="1"/>
  <c r="N8" i="2"/>
  <c r="X7" i="2"/>
  <c r="AC7" i="2" s="1"/>
  <c r="S7" i="2"/>
  <c r="Z8" i="2"/>
  <c r="P9" i="2"/>
  <c r="U8" i="2"/>
  <c r="Q9" i="2"/>
  <c r="V8" i="2"/>
  <c r="AA8" i="2"/>
  <c r="AF8" i="2" s="1"/>
  <c r="AW9" i="2" s="1"/>
  <c r="AS7" i="2"/>
  <c r="M9" i="2"/>
  <c r="R8" i="2"/>
  <c r="B8" i="2"/>
  <c r="AJ4" i="2"/>
  <c r="AK4" i="2" s="1"/>
  <c r="AC6" i="2"/>
  <c r="AT6" i="2" s="1"/>
  <c r="AT7" i="2" s="1"/>
  <c r="AE7" i="2"/>
  <c r="AV8" i="2" s="1"/>
  <c r="AE8" i="2" l="1"/>
  <c r="AV9" i="2" s="1"/>
  <c r="AL4" i="2"/>
  <c r="AK5" i="2" s="1"/>
  <c r="AL5" i="2" s="1"/>
  <c r="AA9" i="2"/>
  <c r="AF9" i="2" s="1"/>
  <c r="AW10" i="2" s="1"/>
  <c r="V9" i="2"/>
  <c r="Q10" i="2"/>
  <c r="X8" i="2"/>
  <c r="S8" i="2"/>
  <c r="N9" i="2"/>
  <c r="AG6" i="2"/>
  <c r="B9" i="2"/>
  <c r="R9" i="2"/>
  <c r="M10" i="2"/>
  <c r="W8" i="2"/>
  <c r="AB7" i="2"/>
  <c r="AG7" i="2" s="1"/>
  <c r="P10" i="2"/>
  <c r="U9" i="2"/>
  <c r="Z9" i="2"/>
  <c r="Y8" i="2"/>
  <c r="AD8" i="2" s="1"/>
  <c r="AU8" i="2" s="1"/>
  <c r="O9" i="2"/>
  <c r="T8" i="2"/>
  <c r="AC8" i="2" l="1"/>
  <c r="AT8" i="2" s="1"/>
  <c r="AE9" i="2"/>
  <c r="AV10" i="2" s="1"/>
  <c r="AS8" i="2"/>
  <c r="AI7" i="2"/>
  <c r="AJ7" i="2" s="1"/>
  <c r="AH7" i="2"/>
  <c r="Y9" i="2"/>
  <c r="AD9" i="2" s="1"/>
  <c r="AU9" i="2" s="1"/>
  <c r="O10" i="2"/>
  <c r="T9" i="2"/>
  <c r="AI6" i="2"/>
  <c r="AH6" i="2"/>
  <c r="AA10" i="2"/>
  <c r="AF10" i="2" s="1"/>
  <c r="AW11" i="2" s="1"/>
  <c r="Q11" i="2"/>
  <c r="V10" i="2"/>
  <c r="X9" i="2"/>
  <c r="AC9" i="2" s="1"/>
  <c r="AT9" i="2" s="1"/>
  <c r="N10" i="2"/>
  <c r="S9" i="2"/>
  <c r="R10" i="2"/>
  <c r="B10" i="2"/>
  <c r="M11" i="2"/>
  <c r="P11" i="2"/>
  <c r="Z10" i="2"/>
  <c r="AE10" i="2" s="1"/>
  <c r="AV11" i="2" s="1"/>
  <c r="U10" i="2"/>
  <c r="AB8" i="2"/>
  <c r="AS9" i="2" s="1"/>
  <c r="W9" i="2"/>
  <c r="AB9" i="2" s="1"/>
  <c r="AS10" i="2" l="1"/>
  <c r="AG9" i="2"/>
  <c r="AI9" i="2" s="1"/>
  <c r="Q12" i="2"/>
  <c r="AA11" i="2"/>
  <c r="AF11" i="2" s="1"/>
  <c r="AW12" i="2" s="1"/>
  <c r="V11" i="2"/>
  <c r="X10" i="2"/>
  <c r="S10" i="2"/>
  <c r="N11" i="2"/>
  <c r="W11" i="2" s="1"/>
  <c r="AG8" i="2"/>
  <c r="T10" i="2"/>
  <c r="O11" i="2"/>
  <c r="Y10" i="2"/>
  <c r="AD10" i="2" s="1"/>
  <c r="AU10" i="2" s="1"/>
  <c r="M12" i="2"/>
  <c r="R11" i="2"/>
  <c r="B11" i="2"/>
  <c r="U11" i="2"/>
  <c r="P12" i="2"/>
  <c r="Z11" i="2"/>
  <c r="W10" i="2"/>
  <c r="AJ6" i="2"/>
  <c r="AK6" i="2" s="1"/>
  <c r="AB10" i="2" l="1"/>
  <c r="AS11" i="2" s="1"/>
  <c r="AE11" i="2"/>
  <c r="AV12" i="2" s="1"/>
  <c r="AH9" i="2"/>
  <c r="AW13" i="2"/>
  <c r="AL6" i="2"/>
  <c r="AK7" i="2" s="1"/>
  <c r="AL7" i="2" s="1"/>
  <c r="R12" i="2"/>
  <c r="M13" i="2"/>
  <c r="B12" i="2"/>
  <c r="AC10" i="2"/>
  <c r="AT10" i="2" s="1"/>
  <c r="AH8" i="2"/>
  <c r="AI8" i="2"/>
  <c r="AJ9" i="2"/>
  <c r="U12" i="2"/>
  <c r="Z12" i="2"/>
  <c r="AE12" i="2" s="1"/>
  <c r="AV13" i="2" s="1"/>
  <c r="P13" i="2"/>
  <c r="Q13" i="2"/>
  <c r="AA12" i="2"/>
  <c r="AF12" i="2" s="1"/>
  <c r="V12" i="2"/>
  <c r="T11" i="2"/>
  <c r="O12" i="2"/>
  <c r="Y11" i="2"/>
  <c r="AD11" i="2" s="1"/>
  <c r="AU11" i="2" s="1"/>
  <c r="X11" i="2"/>
  <c r="AC11" i="2" s="1"/>
  <c r="N12" i="2"/>
  <c r="S11" i="2"/>
  <c r="AJ8" i="2" l="1"/>
  <c r="AT11" i="2"/>
  <c r="Z13" i="2"/>
  <c r="AE13" i="2" s="1"/>
  <c r="AV14" i="2" s="1"/>
  <c r="P14" i="2"/>
  <c r="U13" i="2"/>
  <c r="N13" i="2"/>
  <c r="X12" i="2"/>
  <c r="S12" i="2"/>
  <c r="AA13" i="2"/>
  <c r="AF13" i="2" s="1"/>
  <c r="Q14" i="2"/>
  <c r="V13" i="2"/>
  <c r="W12" i="2"/>
  <c r="AK8" i="2"/>
  <c r="AL8" i="2" s="1"/>
  <c r="AK9" i="2" s="1"/>
  <c r="AL9" i="2" s="1"/>
  <c r="AW14" i="2"/>
  <c r="O13" i="2"/>
  <c r="W13" i="2" s="1"/>
  <c r="Y12" i="2"/>
  <c r="AD12" i="2" s="1"/>
  <c r="AU12" i="2" s="1"/>
  <c r="T12" i="2"/>
  <c r="M14" i="2"/>
  <c r="R13" i="2"/>
  <c r="B13" i="2"/>
  <c r="AB11" i="2"/>
  <c r="AS12" i="2" s="1"/>
  <c r="AG10" i="2"/>
  <c r="AC12" i="2" l="1"/>
  <c r="AT12" i="2" s="1"/>
  <c r="Q15" i="2"/>
  <c r="V14" i="2"/>
  <c r="AA14" i="2"/>
  <c r="AF14" i="2" s="1"/>
  <c r="AW15" i="2" s="1"/>
  <c r="N14" i="2"/>
  <c r="S13" i="2"/>
  <c r="X13" i="2"/>
  <c r="AI10" i="2"/>
  <c r="AH10" i="2"/>
  <c r="M15" i="2"/>
  <c r="R14" i="2"/>
  <c r="B14" i="2"/>
  <c r="O14" i="2"/>
  <c r="Y13" i="2"/>
  <c r="AD13" i="2" s="1"/>
  <c r="AU13" i="2" s="1"/>
  <c r="T13" i="2"/>
  <c r="AB12" i="2"/>
  <c r="AG12" i="2" s="1"/>
  <c r="AG11" i="2"/>
  <c r="Z14" i="2"/>
  <c r="P15" i="2"/>
  <c r="U14" i="2"/>
  <c r="W14" i="2" l="1"/>
  <c r="AJ10" i="2"/>
  <c r="AK10" i="2" s="1"/>
  <c r="AL10" i="2" s="1"/>
  <c r="AS13" i="2"/>
  <c r="AH12" i="2"/>
  <c r="AI12" i="2"/>
  <c r="P16" i="2"/>
  <c r="U15" i="2"/>
  <c r="Z15" i="2"/>
  <c r="AE15" i="2" s="1"/>
  <c r="AE14" i="2"/>
  <c r="AV15" i="2" s="1"/>
  <c r="AI11" i="2"/>
  <c r="AH11" i="2"/>
  <c r="Y14" i="2"/>
  <c r="AD14" i="2" s="1"/>
  <c r="AU14" i="2" s="1"/>
  <c r="O15" i="2"/>
  <c r="T14" i="2"/>
  <c r="M16" i="2"/>
  <c r="R15" i="2"/>
  <c r="B15" i="2"/>
  <c r="AC13" i="2"/>
  <c r="AT13" i="2" s="1"/>
  <c r="Q16" i="2"/>
  <c r="V15" i="2"/>
  <c r="AA15" i="2"/>
  <c r="AF15" i="2" s="1"/>
  <c r="AW16" i="2" s="1"/>
  <c r="AB13" i="2"/>
  <c r="X14" i="2"/>
  <c r="N15" i="2"/>
  <c r="W15" i="2" s="1"/>
  <c r="S14" i="2"/>
  <c r="AC14" i="2" l="1"/>
  <c r="AJ12" i="2"/>
  <c r="AT14" i="2"/>
  <c r="AS14" i="2"/>
  <c r="AJ11" i="2"/>
  <c r="AK11" i="2" s="1"/>
  <c r="AL11" i="2" s="1"/>
  <c r="AK12" i="2" s="1"/>
  <c r="AL12" i="2" s="1"/>
  <c r="O16" i="2"/>
  <c r="Y15" i="2"/>
  <c r="AD15" i="2" s="1"/>
  <c r="AU15" i="2" s="1"/>
  <c r="T15" i="2"/>
  <c r="AV16" i="2"/>
  <c r="P17" i="2"/>
  <c r="U16" i="2"/>
  <c r="Z16" i="2"/>
  <c r="N16" i="2"/>
  <c r="X15" i="2"/>
  <c r="S15" i="2"/>
  <c r="M17" i="2"/>
  <c r="R16" i="2"/>
  <c r="B16" i="2"/>
  <c r="AB14" i="2"/>
  <c r="AG13" i="2"/>
  <c r="AA16" i="2"/>
  <c r="AF16" i="2" s="1"/>
  <c r="AW17" i="2" s="1"/>
  <c r="Q17" i="2"/>
  <c r="V16" i="2"/>
  <c r="AC15" i="2" l="1"/>
  <c r="AT15" i="2"/>
  <c r="AS15" i="2"/>
  <c r="P18" i="2"/>
  <c r="Z17" i="2"/>
  <c r="U17" i="2"/>
  <c r="AI13" i="2"/>
  <c r="AH13" i="2"/>
  <c r="R17" i="2"/>
  <c r="M18" i="2"/>
  <c r="B17" i="2"/>
  <c r="S16" i="2"/>
  <c r="N17" i="2"/>
  <c r="X16" i="2"/>
  <c r="O17" i="2"/>
  <c r="Y16" i="2"/>
  <c r="AD16" i="2" s="1"/>
  <c r="AU16" i="2" s="1"/>
  <c r="T16" i="2"/>
  <c r="AG14" i="2"/>
  <c r="W16" i="2"/>
  <c r="AE16" i="2"/>
  <c r="AV17" i="2" s="1"/>
  <c r="AA17" i="2"/>
  <c r="AF17" i="2" s="1"/>
  <c r="AW18" i="2" s="1"/>
  <c r="V17" i="2"/>
  <c r="Q18" i="2"/>
  <c r="AB15" i="2"/>
  <c r="AG15" i="2" s="1"/>
  <c r="AB16" i="2" l="1"/>
  <c r="AC16" i="2"/>
  <c r="AT16" i="2" s="1"/>
  <c r="AJ13" i="2"/>
  <c r="AK13" i="2" s="1"/>
  <c r="AL13" i="2" s="1"/>
  <c r="AG16" i="2"/>
  <c r="AI16" i="2" s="1"/>
  <c r="Q19" i="2"/>
  <c r="AA18" i="2"/>
  <c r="AF18" i="2" s="1"/>
  <c r="AW19" i="2" s="1"/>
  <c r="V18" i="2"/>
  <c r="M19" i="2"/>
  <c r="R18" i="2"/>
  <c r="B18" i="2"/>
  <c r="X17" i="2"/>
  <c r="S17" i="2"/>
  <c r="N18" i="2"/>
  <c r="AH14" i="2"/>
  <c r="AI14" i="2"/>
  <c r="T17" i="2"/>
  <c r="O18" i="2"/>
  <c r="Y17" i="2"/>
  <c r="AD17" i="2" s="1"/>
  <c r="AU17" i="2" s="1"/>
  <c r="W17" i="2"/>
  <c r="AB17" i="2" s="1"/>
  <c r="AE17" i="2"/>
  <c r="AV18" i="2" s="1"/>
  <c r="AV19" i="2" s="1"/>
  <c r="AH15" i="2"/>
  <c r="AI15" i="2"/>
  <c r="P19" i="2"/>
  <c r="Z18" i="2"/>
  <c r="AE18" i="2" s="1"/>
  <c r="U18" i="2"/>
  <c r="AS16" i="2"/>
  <c r="AS17" i="2" s="1"/>
  <c r="W18" i="2" l="1"/>
  <c r="AJ14" i="2"/>
  <c r="AK14" i="2" s="1"/>
  <c r="AL14" i="2" s="1"/>
  <c r="AH16" i="2"/>
  <c r="AJ16" i="2" s="1"/>
  <c r="AJ15" i="2"/>
  <c r="AK15" i="2" s="1"/>
  <c r="AL15" i="2" s="1"/>
  <c r="Q20" i="2"/>
  <c r="V19" i="2"/>
  <c r="AA19" i="2"/>
  <c r="AF19" i="2" s="1"/>
  <c r="AW20" i="2" s="1"/>
  <c r="AC17" i="2"/>
  <c r="AT17" i="2" s="1"/>
  <c r="M20" i="2"/>
  <c r="R19" i="2"/>
  <c r="B19" i="2"/>
  <c r="AS18" i="2"/>
  <c r="T18" i="2"/>
  <c r="Y18" i="2"/>
  <c r="AD18" i="2" s="1"/>
  <c r="AU18" i="2" s="1"/>
  <c r="O19" i="2"/>
  <c r="Z19" i="2"/>
  <c r="P20" i="2"/>
  <c r="U19" i="2"/>
  <c r="N19" i="2"/>
  <c r="X18" i="2"/>
  <c r="AC18" i="2" s="1"/>
  <c r="S18" i="2"/>
  <c r="AG17" i="2" l="1"/>
  <c r="AI17" i="2" s="1"/>
  <c r="AK16" i="2"/>
  <c r="AL16" i="2" s="1"/>
  <c r="U20" i="2"/>
  <c r="P21" i="2"/>
  <c r="Z20" i="2"/>
  <c r="X19" i="2"/>
  <c r="N20" i="2"/>
  <c r="S19" i="2"/>
  <c r="Y19" i="2"/>
  <c r="AD19" i="2" s="1"/>
  <c r="AU19" i="2" s="1"/>
  <c r="O20" i="2"/>
  <c r="T19" i="2"/>
  <c r="AB18" i="2"/>
  <c r="AG18" i="2" s="1"/>
  <c r="M21" i="2"/>
  <c r="R20" i="2"/>
  <c r="B20" i="2"/>
  <c r="Q21" i="2"/>
  <c r="AA20" i="2"/>
  <c r="AF20" i="2" s="1"/>
  <c r="AW21" i="2" s="1"/>
  <c r="V20" i="2"/>
  <c r="AE19" i="2"/>
  <c r="AV20" i="2" s="1"/>
  <c r="W19" i="2"/>
  <c r="AT18" i="2"/>
  <c r="AB19" i="2" l="1"/>
  <c r="W20" i="2"/>
  <c r="AC19" i="2"/>
  <c r="AT19" i="2"/>
  <c r="AH17" i="2"/>
  <c r="AG19" i="2"/>
  <c r="AH19" i="2" s="1"/>
  <c r="AJ17" i="2"/>
  <c r="AK17" i="2" s="1"/>
  <c r="AL17" i="2" s="1"/>
  <c r="AS19" i="2"/>
  <c r="AS20" i="2" s="1"/>
  <c r="AI18" i="2"/>
  <c r="AH18" i="2"/>
  <c r="Y20" i="2"/>
  <c r="AD20" i="2" s="1"/>
  <c r="AU20" i="2" s="1"/>
  <c r="T20" i="2"/>
  <c r="O21" i="2"/>
  <c r="AA21" i="2"/>
  <c r="AF21" i="2" s="1"/>
  <c r="AW22" i="2" s="1"/>
  <c r="V21" i="2"/>
  <c r="Q22" i="2"/>
  <c r="AE20" i="2"/>
  <c r="X20" i="2"/>
  <c r="S20" i="2"/>
  <c r="N21" i="2"/>
  <c r="B21" i="2"/>
  <c r="W21" i="2"/>
  <c r="M22" i="2"/>
  <c r="R21" i="2"/>
  <c r="AV21" i="2"/>
  <c r="P22" i="2"/>
  <c r="U21" i="2"/>
  <c r="Z21" i="2"/>
  <c r="AC20" i="2" l="1"/>
  <c r="AE21" i="2"/>
  <c r="AV22" i="2" s="1"/>
  <c r="AI19" i="2"/>
  <c r="AJ19" i="2" s="1"/>
  <c r="AT20" i="2"/>
  <c r="AJ18" i="2"/>
  <c r="AK18" i="2" s="1"/>
  <c r="AL18" i="2" s="1"/>
  <c r="P23" i="2"/>
  <c r="Z22" i="2"/>
  <c r="U22" i="2"/>
  <c r="Q23" i="2"/>
  <c r="AA22" i="2"/>
  <c r="AF22" i="2" s="1"/>
  <c r="AW23" i="2" s="1"/>
  <c r="V22" i="2"/>
  <c r="M23" i="2"/>
  <c r="R22" i="2"/>
  <c r="B22" i="2"/>
  <c r="X21" i="2"/>
  <c r="N22" i="2"/>
  <c r="S21" i="2"/>
  <c r="Y21" i="2"/>
  <c r="AD21" i="2" s="1"/>
  <c r="AU21" i="2" s="1"/>
  <c r="O22" i="2"/>
  <c r="T21" i="2"/>
  <c r="AB20" i="2"/>
  <c r="AS21" i="2" s="1"/>
  <c r="AC21" i="2" l="1"/>
  <c r="AT21" i="2" s="1"/>
  <c r="AE22" i="2"/>
  <c r="AV23" i="2" s="1"/>
  <c r="AV24" i="2" s="1"/>
  <c r="AK19" i="2"/>
  <c r="AL19" i="2" s="1"/>
  <c r="T22" i="2"/>
  <c r="O23" i="2"/>
  <c r="Y22" i="2"/>
  <c r="AD22" i="2" s="1"/>
  <c r="AU22" i="2" s="1"/>
  <c r="AG20" i="2"/>
  <c r="W22" i="2"/>
  <c r="Q24" i="2"/>
  <c r="AA23" i="2"/>
  <c r="AF23" i="2" s="1"/>
  <c r="AW24" i="2" s="1"/>
  <c r="V23" i="2"/>
  <c r="U23" i="2"/>
  <c r="P24" i="2"/>
  <c r="Z23" i="2"/>
  <c r="AE23" i="2" s="1"/>
  <c r="X22" i="2"/>
  <c r="S22" i="2"/>
  <c r="N23" i="2"/>
  <c r="AB21" i="2"/>
  <c r="M24" i="2"/>
  <c r="B23" i="2"/>
  <c r="W23" i="2"/>
  <c r="R23" i="2"/>
  <c r="AG21" i="2" l="1"/>
  <c r="AB22" i="2"/>
  <c r="O24" i="2"/>
  <c r="Y23" i="2"/>
  <c r="AD23" i="2" s="1"/>
  <c r="AU23" i="2" s="1"/>
  <c r="T23" i="2"/>
  <c r="X23" i="2"/>
  <c r="S23" i="2"/>
  <c r="N24" i="2"/>
  <c r="P25" i="2"/>
  <c r="U24" i="2"/>
  <c r="Z24" i="2"/>
  <c r="AA24" i="2"/>
  <c r="AF24" i="2" s="1"/>
  <c r="AW25" i="2" s="1"/>
  <c r="Q25" i="2"/>
  <c r="V24" i="2"/>
  <c r="M25" i="2"/>
  <c r="R24" i="2"/>
  <c r="B24" i="2"/>
  <c r="AC22" i="2"/>
  <c r="AT22" i="2" s="1"/>
  <c r="AI20" i="2"/>
  <c r="AH20" i="2"/>
  <c r="AS22" i="2"/>
  <c r="AI21" i="2"/>
  <c r="AH21" i="2"/>
  <c r="AC23" i="2" l="1"/>
  <c r="AG22" i="2"/>
  <c r="AI22" i="2" s="1"/>
  <c r="AJ21" i="2"/>
  <c r="AS23" i="2"/>
  <c r="V25" i="2"/>
  <c r="Q26" i="2"/>
  <c r="AA25" i="2"/>
  <c r="AF25" i="2" s="1"/>
  <c r="AW26" i="2" s="1"/>
  <c r="Z25" i="2"/>
  <c r="U25" i="2"/>
  <c r="P26" i="2"/>
  <c r="R25" i="2"/>
  <c r="M26" i="2"/>
  <c r="B25" i="2"/>
  <c r="N25" i="2"/>
  <c r="S24" i="2"/>
  <c r="X24" i="2"/>
  <c r="AC24" i="2" s="1"/>
  <c r="AJ20" i="2"/>
  <c r="AK20" i="2" s="1"/>
  <c r="AL20" i="2" s="1"/>
  <c r="AB23" i="2"/>
  <c r="AG23" i="2" s="1"/>
  <c r="AT23" i="2"/>
  <c r="W24" i="2"/>
  <c r="AB24" i="2" s="1"/>
  <c r="AE24" i="2"/>
  <c r="AV25" i="2" s="1"/>
  <c r="Y24" i="2"/>
  <c r="AD24" i="2" s="1"/>
  <c r="AU24" i="2" s="1"/>
  <c r="T24" i="2"/>
  <c r="O25" i="2"/>
  <c r="W25" i="2" s="1"/>
  <c r="AK21" i="2" l="1"/>
  <c r="AL21" i="2" s="1"/>
  <c r="AH22" i="2"/>
  <c r="AG24" i="2"/>
  <c r="AI24" i="2" s="1"/>
  <c r="AS24" i="2"/>
  <c r="AS25" i="2" s="1"/>
  <c r="AU25" i="2"/>
  <c r="P27" i="2"/>
  <c r="Z26" i="2"/>
  <c r="AE26" i="2" s="1"/>
  <c r="U26" i="2"/>
  <c r="Q27" i="2"/>
  <c r="AA26" i="2"/>
  <c r="AF26" i="2" s="1"/>
  <c r="AW27" i="2" s="1"/>
  <c r="V26" i="2"/>
  <c r="AJ22" i="2"/>
  <c r="AT24" i="2"/>
  <c r="M27" i="2"/>
  <c r="R26" i="2"/>
  <c r="B26" i="2"/>
  <c r="O26" i="2"/>
  <c r="Y25" i="2"/>
  <c r="AD25" i="2" s="1"/>
  <c r="T25" i="2"/>
  <c r="AI23" i="2"/>
  <c r="AH23" i="2"/>
  <c r="N26" i="2"/>
  <c r="X25" i="2"/>
  <c r="AC25" i="2" s="1"/>
  <c r="S25" i="2"/>
  <c r="AE25" i="2"/>
  <c r="AV26" i="2" s="1"/>
  <c r="AV27" i="2" s="1"/>
  <c r="AK22" i="2" l="1"/>
  <c r="AL22" i="2" s="1"/>
  <c r="AJ23" i="2"/>
  <c r="AH24" i="2"/>
  <c r="AJ24" i="2" s="1"/>
  <c r="AT25" i="2"/>
  <c r="U27" i="2"/>
  <c r="P28" i="2"/>
  <c r="Z27" i="2"/>
  <c r="AB25" i="2"/>
  <c r="AS26" i="2" s="1"/>
  <c r="S26" i="2"/>
  <c r="X26" i="2"/>
  <c r="N27" i="2"/>
  <c r="Q28" i="2"/>
  <c r="AA27" i="2"/>
  <c r="AF27" i="2" s="1"/>
  <c r="V27" i="2"/>
  <c r="M28" i="2"/>
  <c r="B27" i="2"/>
  <c r="R27" i="2"/>
  <c r="O27" i="2"/>
  <c r="Y26" i="2"/>
  <c r="AD26" i="2" s="1"/>
  <c r="AU26" i="2" s="1"/>
  <c r="T26" i="2"/>
  <c r="W26" i="2"/>
  <c r="AW28" i="2"/>
  <c r="AC26" i="2" l="1"/>
  <c r="AT26" i="2" s="1"/>
  <c r="AB26" i="2"/>
  <c r="AG26" i="2" s="1"/>
  <c r="AI26" i="2" s="1"/>
  <c r="AK23" i="2"/>
  <c r="AL23" i="2" s="1"/>
  <c r="AK24" i="2" s="1"/>
  <c r="AL24" i="2" s="1"/>
  <c r="AH26" i="2"/>
  <c r="M29" i="2"/>
  <c r="B28" i="2"/>
  <c r="R28" i="2"/>
  <c r="X27" i="2"/>
  <c r="S27" i="2"/>
  <c r="N28" i="2"/>
  <c r="AE27" i="2"/>
  <c r="AV28" i="2" s="1"/>
  <c r="AG25" i="2"/>
  <c r="Y27" i="2"/>
  <c r="AD27" i="2" s="1"/>
  <c r="AU27" i="2" s="1"/>
  <c r="T27" i="2"/>
  <c r="O28" i="2"/>
  <c r="AS27" i="2"/>
  <c r="W27" i="2"/>
  <c r="AB27" i="2" s="1"/>
  <c r="Q29" i="2"/>
  <c r="AA28" i="2"/>
  <c r="AF28" i="2" s="1"/>
  <c r="AW29" i="2" s="1"/>
  <c r="V28" i="2"/>
  <c r="U28" i="2"/>
  <c r="P29" i="2"/>
  <c r="Z28" i="2"/>
  <c r="AE28" i="2" s="1"/>
  <c r="X28" i="2" l="1"/>
  <c r="S28" i="2"/>
  <c r="N29" i="2"/>
  <c r="AS28" i="2"/>
  <c r="AH25" i="2"/>
  <c r="AI25" i="2"/>
  <c r="AC27" i="2"/>
  <c r="AT27" i="2" s="1"/>
  <c r="M30" i="2"/>
  <c r="B29" i="2"/>
  <c r="R29" i="2"/>
  <c r="W28" i="2"/>
  <c r="U29" i="2"/>
  <c r="P30" i="2"/>
  <c r="Z29" i="2"/>
  <c r="Q30" i="2"/>
  <c r="AA29" i="2"/>
  <c r="AF29" i="2" s="1"/>
  <c r="AW30" i="2" s="1"/>
  <c r="V29" i="2"/>
  <c r="Y28" i="2"/>
  <c r="AD28" i="2" s="1"/>
  <c r="AU28" i="2" s="1"/>
  <c r="T28" i="2"/>
  <c r="O29" i="2"/>
  <c r="AV29" i="2"/>
  <c r="AJ26" i="2"/>
  <c r="AC28" i="2" l="1"/>
  <c r="AB28" i="2"/>
  <c r="AS29" i="2" s="1"/>
  <c r="M31" i="2"/>
  <c r="B30" i="2"/>
  <c r="R30" i="2"/>
  <c r="AT28" i="2"/>
  <c r="N30" i="2"/>
  <c r="X29" i="2"/>
  <c r="S29" i="2"/>
  <c r="O30" i="2"/>
  <c r="Y29" i="2"/>
  <c r="AD29" i="2" s="1"/>
  <c r="AU29" i="2" s="1"/>
  <c r="T29" i="2"/>
  <c r="Q31" i="2"/>
  <c r="AA30" i="2"/>
  <c r="AF30" i="2" s="1"/>
  <c r="AW31" i="2" s="1"/>
  <c r="V30" i="2"/>
  <c r="AE29" i="2"/>
  <c r="AV30" i="2" s="1"/>
  <c r="U30" i="2"/>
  <c r="P31" i="2"/>
  <c r="Z30" i="2"/>
  <c r="AE30" i="2" s="1"/>
  <c r="W29" i="2"/>
  <c r="AJ25" i="2"/>
  <c r="AK25" i="2" s="1"/>
  <c r="AL25" i="2" s="1"/>
  <c r="AK26" i="2" s="1"/>
  <c r="AL26" i="2" s="1"/>
  <c r="AG27" i="2"/>
  <c r="AV31" i="2" l="1"/>
  <c r="Y30" i="2"/>
  <c r="AD30" i="2" s="1"/>
  <c r="AU30" i="2" s="1"/>
  <c r="O31" i="2"/>
  <c r="T30" i="2"/>
  <c r="AI27" i="2"/>
  <c r="AH27" i="2"/>
  <c r="S30" i="2"/>
  <c r="N31" i="2"/>
  <c r="W31" i="2" s="1"/>
  <c r="X30" i="2"/>
  <c r="AB29" i="2"/>
  <c r="Q32" i="2"/>
  <c r="AA31" i="2"/>
  <c r="AF31" i="2" s="1"/>
  <c r="AW32" i="2" s="1"/>
  <c r="V31" i="2"/>
  <c r="W30" i="2"/>
  <c r="AG28" i="2"/>
  <c r="U31" i="2"/>
  <c r="P32" i="2"/>
  <c r="Z31" i="2"/>
  <c r="AC29" i="2"/>
  <c r="AT29" i="2" s="1"/>
  <c r="M32" i="2"/>
  <c r="R31" i="2"/>
  <c r="B31" i="2"/>
  <c r="AC30" i="2" l="1"/>
  <c r="AT30" i="2" s="1"/>
  <c r="AE31" i="2"/>
  <c r="AV32" i="2" s="1"/>
  <c r="AB30" i="2"/>
  <c r="AG30" i="2" s="1"/>
  <c r="AI30" i="2" s="1"/>
  <c r="AG29" i="2"/>
  <c r="AI29" i="2" s="1"/>
  <c r="Y31" i="2"/>
  <c r="AD31" i="2" s="1"/>
  <c r="AU31" i="2" s="1"/>
  <c r="T31" i="2"/>
  <c r="O32" i="2"/>
  <c r="U32" i="2"/>
  <c r="P33" i="2"/>
  <c r="Z32" i="2"/>
  <c r="AJ27" i="2"/>
  <c r="AK27" i="2" s="1"/>
  <c r="AL27" i="2" s="1"/>
  <c r="M33" i="2"/>
  <c r="B32" i="2"/>
  <c r="R32" i="2"/>
  <c r="X31" i="2"/>
  <c r="AC31" i="2" s="1"/>
  <c r="S31" i="2"/>
  <c r="N32" i="2"/>
  <c r="AI28" i="2"/>
  <c r="AH28" i="2"/>
  <c r="Q33" i="2"/>
  <c r="AA32" i="2"/>
  <c r="AF32" i="2" s="1"/>
  <c r="AW33" i="2" s="1"/>
  <c r="V32" i="2"/>
  <c r="AS30" i="2"/>
  <c r="AS31" i="2" s="1"/>
  <c r="W32" i="2" l="1"/>
  <c r="AH29" i="2"/>
  <c r="AT31" i="2"/>
  <c r="AH30" i="2"/>
  <c r="AJ30" i="2" s="1"/>
  <c r="AB31" i="2"/>
  <c r="AS32" i="2" s="1"/>
  <c r="AJ28" i="2"/>
  <c r="AK28" i="2" s="1"/>
  <c r="AL28" i="2" s="1"/>
  <c r="Y32" i="2"/>
  <c r="AD32" i="2" s="1"/>
  <c r="AU32" i="2" s="1"/>
  <c r="T32" i="2"/>
  <c r="O33" i="2"/>
  <c r="V33" i="2"/>
  <c r="Q34" i="2"/>
  <c r="AA33" i="2"/>
  <c r="AF33" i="2" s="1"/>
  <c r="AW34" i="2" s="1"/>
  <c r="AE32" i="2"/>
  <c r="AV33" i="2" s="1"/>
  <c r="AJ29" i="2"/>
  <c r="N33" i="2"/>
  <c r="X32" i="2"/>
  <c r="S32" i="2"/>
  <c r="R33" i="2"/>
  <c r="M34" i="2"/>
  <c r="W33" i="2"/>
  <c r="B33" i="2"/>
  <c r="Z33" i="2"/>
  <c r="U33" i="2"/>
  <c r="P34" i="2"/>
  <c r="AE33" i="2" l="1"/>
  <c r="AG31" i="2"/>
  <c r="AC32" i="2"/>
  <c r="AT32" i="2" s="1"/>
  <c r="AK29" i="2"/>
  <c r="AL29" i="2" s="1"/>
  <c r="AK30" i="2" s="1"/>
  <c r="AL30" i="2" s="1"/>
  <c r="Z34" i="2"/>
  <c r="U34" i="2"/>
  <c r="P35" i="2"/>
  <c r="AV34" i="2"/>
  <c r="V34" i="2"/>
  <c r="Q35" i="2"/>
  <c r="AA34" i="2"/>
  <c r="AF34" i="2" s="1"/>
  <c r="AW35" i="2" s="1"/>
  <c r="R34" i="2"/>
  <c r="M35" i="2"/>
  <c r="B34" i="2"/>
  <c r="N34" i="2"/>
  <c r="W34" i="2" s="1"/>
  <c r="X33" i="2"/>
  <c r="S33" i="2"/>
  <c r="AB32" i="2"/>
  <c r="AS33" i="2" s="1"/>
  <c r="Y33" i="2"/>
  <c r="AD33" i="2" s="1"/>
  <c r="AU33" i="2" s="1"/>
  <c r="T33" i="2"/>
  <c r="O34" i="2"/>
  <c r="AI31" i="2" l="1"/>
  <c r="AH31" i="2"/>
  <c r="AC33" i="2"/>
  <c r="AT33" i="2" s="1"/>
  <c r="R35" i="2"/>
  <c r="M36" i="2"/>
  <c r="B35" i="2"/>
  <c r="V35" i="2"/>
  <c r="Q36" i="2"/>
  <c r="AA35" i="2"/>
  <c r="AF35" i="2" s="1"/>
  <c r="AW36" i="2" s="1"/>
  <c r="N35" i="2"/>
  <c r="X34" i="2"/>
  <c r="S34" i="2"/>
  <c r="AE34" i="2"/>
  <c r="AV35" i="2" s="1"/>
  <c r="AG32" i="2"/>
  <c r="Z35" i="2"/>
  <c r="U35" i="2"/>
  <c r="P36" i="2"/>
  <c r="Y34" i="2"/>
  <c r="AD34" i="2" s="1"/>
  <c r="AU34" i="2" s="1"/>
  <c r="T34" i="2"/>
  <c r="O35" i="2"/>
  <c r="AB33" i="2"/>
  <c r="AS34" i="2" s="1"/>
  <c r="AJ31" i="2" l="1"/>
  <c r="AK31" i="2" s="1"/>
  <c r="AL31" i="2" s="1"/>
  <c r="AG33" i="2"/>
  <c r="AH33" i="2" s="1"/>
  <c r="AE35" i="2"/>
  <c r="AV36" i="2" s="1"/>
  <c r="Q37" i="2"/>
  <c r="AA36" i="2"/>
  <c r="AF36" i="2" s="1"/>
  <c r="AW37" i="2" s="1"/>
  <c r="V36" i="2"/>
  <c r="M37" i="2"/>
  <c r="R36" i="2"/>
  <c r="B36" i="2"/>
  <c r="AB34" i="2"/>
  <c r="AS35" i="2" s="1"/>
  <c r="AC34" i="2"/>
  <c r="O36" i="2"/>
  <c r="Y35" i="2"/>
  <c r="AD35" i="2" s="1"/>
  <c r="AU35" i="2" s="1"/>
  <c r="T35" i="2"/>
  <c r="W35" i="2"/>
  <c r="P37" i="2"/>
  <c r="Z36" i="2"/>
  <c r="U36" i="2"/>
  <c r="AI32" i="2"/>
  <c r="AH32" i="2"/>
  <c r="N36" i="2"/>
  <c r="X35" i="2"/>
  <c r="S35" i="2"/>
  <c r="AT34" i="2"/>
  <c r="AE36" i="2" l="1"/>
  <c r="AV37" i="2" s="1"/>
  <c r="AI33" i="2"/>
  <c r="AJ33" i="2" s="1"/>
  <c r="S36" i="2"/>
  <c r="X36" i="2"/>
  <c r="N37" i="2"/>
  <c r="AG34" i="2"/>
  <c r="O37" i="2"/>
  <c r="Y36" i="2"/>
  <c r="AD36" i="2" s="1"/>
  <c r="AU36" i="2" s="1"/>
  <c r="T36" i="2"/>
  <c r="AB35" i="2"/>
  <c r="R37" i="2"/>
  <c r="B37" i="2"/>
  <c r="U37" i="2"/>
  <c r="Z37" i="2"/>
  <c r="AJ32" i="2"/>
  <c r="AK32" i="2" s="1"/>
  <c r="AL32" i="2" s="1"/>
  <c r="AC35" i="2"/>
  <c r="AT35" i="2" s="1"/>
  <c r="W36" i="2"/>
  <c r="AA37" i="2"/>
  <c r="AF37" i="2" s="1"/>
  <c r="V37" i="2"/>
  <c r="AB36" i="2" l="1"/>
  <c r="AK33" i="2"/>
  <c r="AL33" i="2" s="1"/>
  <c r="AG35" i="2"/>
  <c r="AI35" i="2" s="1"/>
  <c r="Y37" i="2"/>
  <c r="AD37" i="2" s="1"/>
  <c r="AU37" i="2" s="1"/>
  <c r="T37" i="2"/>
  <c r="AH34" i="2"/>
  <c r="AI34" i="2"/>
  <c r="AE37" i="2"/>
  <c r="X37" i="2"/>
  <c r="S37" i="2"/>
  <c r="AS36" i="2"/>
  <c r="W37" i="2"/>
  <c r="AC36" i="2"/>
  <c r="AS37" i="2" l="1"/>
  <c r="AH35" i="2"/>
  <c r="AJ35" i="2" s="1"/>
  <c r="AG36" i="2"/>
  <c r="AH36" i="2" s="1"/>
  <c r="AB37" i="2"/>
  <c r="AJ34" i="2"/>
  <c r="AK34" i="2" s="1"/>
  <c r="AL34" i="2" s="1"/>
  <c r="AC37" i="2"/>
  <c r="AT36" i="2"/>
  <c r="AI36" i="2" l="1"/>
  <c r="AJ36" i="2" s="1"/>
  <c r="AG37" i="2"/>
  <c r="AI37" i="2" s="1"/>
  <c r="AK35" i="2"/>
  <c r="AL35" i="2" s="1"/>
  <c r="AT37" i="2"/>
  <c r="AK36" i="2" l="1"/>
  <c r="AL36" i="2" s="1"/>
  <c r="AH37" i="2"/>
  <c r="AJ37" i="2" s="1"/>
  <c r="AK37" i="2" l="1"/>
  <c r="AL37" i="2" s="1"/>
  <c r="AK38" i="2" l="1"/>
</calcChain>
</file>

<file path=xl/sharedStrings.xml><?xml version="1.0" encoding="utf-8"?>
<sst xmlns="http://schemas.openxmlformats.org/spreadsheetml/2006/main" count="94" uniqueCount="93">
  <si>
    <t>MONTH</t>
  </si>
  <si>
    <t>INVEST AMOUNT</t>
  </si>
  <si>
    <t xml:space="preserve">MAIN ID </t>
  </si>
  <si>
    <t>1ST LEVEL ID</t>
  </si>
  <si>
    <t>2nd LEVEL ID</t>
  </si>
  <si>
    <t>3rd LEVEL ID</t>
  </si>
  <si>
    <t>4th LEVEL ID</t>
  </si>
  <si>
    <t>SMARTX ROI 12% 30 days</t>
  </si>
  <si>
    <t>1ST LEVEL HEAD ID</t>
  </si>
  <si>
    <t>2nd LEVEL HEAD ID</t>
  </si>
  <si>
    <t>3rd LEVEL HEAD ID</t>
  </si>
  <si>
    <t>4th LEVEL HEAD ID</t>
  </si>
  <si>
    <t>SUB ID'S 1st level</t>
  </si>
  <si>
    <t>2ND LEVEL</t>
  </si>
  <si>
    <t>3RD LEVEL</t>
  </si>
  <si>
    <t>4TH LEVEL</t>
  </si>
  <si>
    <t>5TH LEVEL</t>
  </si>
  <si>
    <t>SUB ID'S 1ST LEVEL ROI 9%</t>
  </si>
  <si>
    <t>SUB ID'S 2ND LEVEL ROI 9%</t>
  </si>
  <si>
    <t>SUB ID'S 3RD LEVEL ROI 9%</t>
  </si>
  <si>
    <t>SUB ID'S 4TH LEVEL ROI 9%</t>
  </si>
  <si>
    <t>SUB ID'S 5TH LEVEL ROI 9%</t>
  </si>
  <si>
    <t>TOP ID AFFILIATE</t>
  </si>
  <si>
    <t>1ST LEVEL ID AFFILIATE</t>
  </si>
  <si>
    <t>2ND LEVEL ID AFFILATE</t>
  </si>
  <si>
    <t>3RD LEVEL ID AFFLIATE</t>
  </si>
  <si>
    <t>4TH LEVEL ID AFFILATE</t>
  </si>
  <si>
    <t>HEAD ID AFF ROI 9%</t>
  </si>
  <si>
    <t>1ST LEVEL AFF ROI 9%</t>
  </si>
  <si>
    <t>2nd LEVEL AFF ROI 9%</t>
  </si>
  <si>
    <t>3rd LEVEL AFF ROI 9%</t>
  </si>
  <si>
    <t>4th LEVEL AFF ROI 9%</t>
  </si>
  <si>
    <t>TOTAL ROI</t>
  </si>
  <si>
    <t>50% USDX</t>
  </si>
  <si>
    <t>50% DAI &amp; 0.7 $</t>
  </si>
  <si>
    <t>TTL ROI</t>
  </si>
  <si>
    <t>G.TTL ROI</t>
  </si>
  <si>
    <t>RE-STAKE BAL</t>
  </si>
  <si>
    <t>1ST LEVEL NEW ID'S</t>
  </si>
  <si>
    <t>2ND LEVEL NEW ID'S</t>
  </si>
  <si>
    <t>3RD LEVEL  NEW ID'S</t>
  </si>
  <si>
    <t>4TH LEVEL NEW ID'S</t>
  </si>
  <si>
    <t>5TH LEVEL NEW ID'S</t>
  </si>
  <si>
    <t>NO OF ID'S</t>
  </si>
  <si>
    <t>TOP ID WITHDRAW LIMIT</t>
  </si>
  <si>
    <t>1ST LEVEL WITHDRAW LIMIT</t>
  </si>
  <si>
    <t>2nd LEVEL WITHDRAW LIMIT</t>
  </si>
  <si>
    <t>3rd LEVEL WITHDRAW LIMIT</t>
  </si>
  <si>
    <t>4th LEVEL WITHDRAW LIMIT</t>
  </si>
  <si>
    <t>SPOT INCOME</t>
  </si>
  <si>
    <t>1ST LEVEL SPOT</t>
  </si>
  <si>
    <t>2nd LEVEL SPOT</t>
  </si>
  <si>
    <t>3rd LEVEL SPOT</t>
  </si>
  <si>
    <t>4th LEVEL SPOT</t>
  </si>
  <si>
    <t>SPOT TOTAL</t>
  </si>
  <si>
    <t>REMARKS</t>
  </si>
  <si>
    <t>1 TO 6</t>
  </si>
  <si>
    <t xml:space="preserve">TTL </t>
  </si>
  <si>
    <t>TTL ID'S</t>
  </si>
  <si>
    <t>SPOT TTL</t>
  </si>
  <si>
    <t>16,17</t>
  </si>
  <si>
    <t>18,19</t>
  </si>
  <si>
    <t>20,21</t>
  </si>
  <si>
    <t>22,23</t>
  </si>
  <si>
    <t>24,25</t>
  </si>
  <si>
    <t>26,27</t>
  </si>
  <si>
    <t>28,29</t>
  </si>
  <si>
    <t>30,31,32</t>
  </si>
  <si>
    <t>33,34,35</t>
  </si>
  <si>
    <t>36 TO 39</t>
  </si>
  <si>
    <t>40 TO 43</t>
  </si>
  <si>
    <t>44 TO 47</t>
  </si>
  <si>
    <t>48 TO 51</t>
  </si>
  <si>
    <t>52 TO 55</t>
  </si>
  <si>
    <t>56 TO 59</t>
  </si>
  <si>
    <t>NOTE :</t>
  </si>
  <si>
    <t>2) NOT REQUIRED ANY MORE AMOUNT TO INVEST</t>
  </si>
  <si>
    <t>3) DON’T TAKE ANY AMOUNT IN BETWEEN PROGRESS</t>
  </si>
  <si>
    <t>4) CALCULATION TAKEN TO SELL USDX COIN AT 0.70 DOLLER PRICE, IF MORE THEN A PRICE, RETURN AMOUNT WILL INCREASE</t>
  </si>
  <si>
    <t>7) FINANCIAL DISIPLIN IS VERY IMPORTAN TO CREAT A BIG ASSET</t>
  </si>
  <si>
    <t>1) INVESTMENT AMOUNT IS 5,20,000 ONLY,</t>
  </si>
  <si>
    <t>5) CALCULATION TAKEN ONLY PLACED ID'S UP TO 5 LEVEL'S.</t>
  </si>
  <si>
    <t>60 TO 63</t>
  </si>
  <si>
    <t>64 TO 68</t>
  </si>
  <si>
    <t>69 TO 73</t>
  </si>
  <si>
    <t>74 TO 78</t>
  </si>
  <si>
    <t>79 TO 83</t>
  </si>
  <si>
    <t>84 TO 88</t>
  </si>
  <si>
    <t>89 TO 93</t>
  </si>
  <si>
    <t>94 TO 98</t>
  </si>
  <si>
    <t>99 TO 103</t>
  </si>
  <si>
    <t>104 TO 108</t>
  </si>
  <si>
    <t>6) AFTER 3 YEAR'S YOU WILL GET MINIMUM RS 20,00,000 (20 LAKHS) PER MONTH, UP TO NEXT 22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</si>
</sst>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/>
    </xf>
    <xf numFmtId="1" fontId="1" fillId="3" borderId="7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 vertical="center"/>
    </xf>
    <xf numFmtId="1" fontId="1" fillId="3" borderId="7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/>
    </xf>
    <xf numFmtId="1" fontId="1" fillId="5" borderId="4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1" fillId="6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" fontId="1" fillId="7" borderId="3" xfId="0" applyNumberFormat="1" applyFont="1" applyFill="1" applyBorder="1" applyAlignment="1">
      <alignment horizontal="center" vertical="center"/>
    </xf>
    <xf numFmtId="1" fontId="1" fillId="5" borderId="3" xfId="0" applyNumberFormat="1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/>
    </xf>
    <xf numFmtId="0" fontId="0" fillId="7" borderId="0" xfId="0" applyFill="1"/>
    <xf numFmtId="0" fontId="0" fillId="0" borderId="0" xfId="0" applyBorder="1"/>
    <xf numFmtId="1" fontId="0" fillId="0" borderId="0" xfId="0" applyNumberFormat="1" applyBorder="1"/>
    <xf numFmtId="1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1" fontId="1" fillId="3" borderId="0" xfId="0" applyNumberFormat="1" applyFont="1" applyFill="1" applyAlignment="1">
      <alignment horizontal="center"/>
    </xf>
    <xf numFmtId="1" fontId="1" fillId="3" borderId="3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/>
    </xf>
    <xf numFmtId="1" fontId="1" fillId="4" borderId="7" xfId="0" applyNumberFormat="1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0" fillId="4" borderId="0" xfId="0" applyFill="1"/>
    <xf numFmtId="0" fontId="1" fillId="4" borderId="3" xfId="0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/>
    </xf>
    <xf numFmtId="1" fontId="0" fillId="4" borderId="0" xfId="0" applyNumberFormat="1" applyFill="1"/>
    <xf numFmtId="0" fontId="1" fillId="5" borderId="6" xfId="0" applyFont="1" applyFill="1" applyBorder="1" applyAlignment="1">
      <alignment horizontal="center" vertical="center"/>
    </xf>
    <xf numFmtId="1" fontId="1" fillId="5" borderId="6" xfId="0" applyNumberFormat="1" applyFont="1" applyFill="1" applyBorder="1" applyAlignment="1">
      <alignment horizontal="center" vertical="center"/>
    </xf>
    <xf numFmtId="1" fontId="1" fillId="5" borderId="6" xfId="0" applyNumberFormat="1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0" fillId="5" borderId="0" xfId="0" applyFill="1"/>
    <xf numFmtId="1" fontId="1" fillId="5" borderId="3" xfId="0" applyNumberFormat="1" applyFont="1" applyFill="1" applyBorder="1" applyAlignment="1">
      <alignment horizontal="center"/>
    </xf>
    <xf numFmtId="1" fontId="0" fillId="5" borderId="0" xfId="0" applyNumberFormat="1" applyFill="1"/>
    <xf numFmtId="1" fontId="1" fillId="7" borderId="6" xfId="0" applyNumberFormat="1" applyFont="1" applyFill="1" applyBorder="1" applyAlignment="1">
      <alignment horizontal="center" vertical="center"/>
    </xf>
    <xf numFmtId="1" fontId="1" fillId="7" borderId="6" xfId="0" applyNumberFormat="1" applyFont="1" applyFill="1" applyBorder="1" applyAlignment="1">
      <alignment horizontal="center"/>
    </xf>
    <xf numFmtId="1" fontId="1" fillId="7" borderId="7" xfId="0" applyNumberFormat="1" applyFont="1" applyFill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2" fontId="5" fillId="0" borderId="10" xfId="0" applyNumberFormat="1" applyFont="1" applyBorder="1"/>
    <xf numFmtId="0" fontId="5" fillId="0" borderId="10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/>
    <xf numFmtId="0" fontId="5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7"/>
  <sheetViews>
    <sheetView tabSelected="1" topLeftCell="AB1" zoomScale="60" zoomScaleNormal="60" workbookViewId="0">
      <pane ySplit="1" topLeftCell="A11" activePane="bottomLeft" state="frozen"/>
      <selection activeCell="AW1" sqref="AW1"/>
      <selection pane="bottomLeft" activeCell="BC40" sqref="BC40"/>
    </sheetView>
  </sheetViews>
  <sheetFormatPr defaultRowHeight="15" x14ac:dyDescent="0.25"/>
  <cols>
    <col min="28" max="32" width="9.140625" style="21"/>
    <col min="37" max="37" width="10.28515625" customWidth="1"/>
    <col min="44" max="44" width="14" customWidth="1"/>
    <col min="55" max="57" width="9.140625" style="34"/>
  </cols>
  <sheetData>
    <row r="1" spans="1:59" s="10" customFormat="1" ht="102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3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2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9" t="s">
        <v>54</v>
      </c>
      <c r="BD1" s="78" t="s">
        <v>55</v>
      </c>
      <c r="BE1" s="79"/>
    </row>
    <row r="2" spans="1:59" x14ac:dyDescent="0.25">
      <c r="A2" s="11">
        <v>1</v>
      </c>
      <c r="B2" s="13">
        <v>5000</v>
      </c>
      <c r="C2" s="13">
        <v>2000</v>
      </c>
      <c r="D2" s="13">
        <v>500</v>
      </c>
      <c r="E2" s="13">
        <v>0</v>
      </c>
      <c r="F2" s="13">
        <v>0</v>
      </c>
      <c r="G2" s="13">
        <v>0</v>
      </c>
      <c r="H2" s="13">
        <f t="shared" ref="H2:H37" si="0">C2*12%</f>
        <v>240</v>
      </c>
      <c r="I2" s="13">
        <f>+D2*9%</f>
        <v>45</v>
      </c>
      <c r="J2" s="13">
        <f>+E2*9%</f>
        <v>0</v>
      </c>
      <c r="K2" s="13">
        <f t="shared" ref="K2:L17" si="1">+F2*9%</f>
        <v>0</v>
      </c>
      <c r="L2" s="13">
        <f t="shared" si="1"/>
        <v>0</v>
      </c>
      <c r="M2" s="13">
        <v>3000</v>
      </c>
      <c r="N2" s="13">
        <f>+AN2</f>
        <v>0</v>
      </c>
      <c r="O2" s="13">
        <f>+AO2</f>
        <v>0</v>
      </c>
      <c r="P2" s="13">
        <f>+AP2</f>
        <v>0</v>
      </c>
      <c r="Q2" s="13">
        <f>+AQ2</f>
        <v>0</v>
      </c>
      <c r="R2" s="13">
        <f>M2*9%</f>
        <v>270</v>
      </c>
      <c r="S2" s="13">
        <f>+N2*9%</f>
        <v>0</v>
      </c>
      <c r="T2" s="13">
        <f>+O2*9%</f>
        <v>0</v>
      </c>
      <c r="U2" s="13">
        <f>+P2*9%</f>
        <v>0</v>
      </c>
      <c r="V2" s="13">
        <f>+Q2*9%</f>
        <v>0</v>
      </c>
      <c r="W2" s="13">
        <f>M2*10%</f>
        <v>300</v>
      </c>
      <c r="X2" s="13">
        <f>+N2*50%</f>
        <v>0</v>
      </c>
      <c r="Y2" s="13">
        <f>+O2*40%</f>
        <v>0</v>
      </c>
      <c r="Z2" s="13">
        <f>+P2*30%</f>
        <v>0</v>
      </c>
      <c r="AA2" s="13">
        <f>+Q2*20</f>
        <v>0</v>
      </c>
      <c r="AB2" s="13">
        <f>(W2+X2+Y2+Z2+AA2)*9%</f>
        <v>27</v>
      </c>
      <c r="AC2" s="13">
        <f>(X2+Y2+Z2+AA2)*9%</f>
        <v>0</v>
      </c>
      <c r="AD2" s="13">
        <f>(Y2+Z2+AA2)*9%</f>
        <v>0</v>
      </c>
      <c r="AE2" s="13">
        <f>(Z2+AA2)*9%</f>
        <v>0</v>
      </c>
      <c r="AF2" s="13">
        <f>+AA2*9%</f>
        <v>0</v>
      </c>
      <c r="AG2" s="13">
        <f t="shared" ref="AG2:AG37" si="2">H2+R2+S2+T2+U2+V2+AB2+AC2+AD2+AE2</f>
        <v>537</v>
      </c>
      <c r="AH2" s="13">
        <f>+AG2*41.25%</f>
        <v>221.51249999999999</v>
      </c>
      <c r="AI2" s="13">
        <f>+AG2-((AG2*58.75%)*0.7)</f>
        <v>316.15875</v>
      </c>
      <c r="AJ2" s="13">
        <f>+(AI2*0.7)+AH2</f>
        <v>442.82362499999999</v>
      </c>
      <c r="AK2" s="13">
        <f>+AJ2</f>
        <v>442.82362499999999</v>
      </c>
      <c r="AL2" s="13">
        <v>443</v>
      </c>
      <c r="AM2" s="13">
        <v>3000</v>
      </c>
      <c r="AN2" s="13">
        <v>0</v>
      </c>
      <c r="AO2" s="13"/>
      <c r="AP2" s="13"/>
      <c r="AQ2" s="13"/>
      <c r="AR2" s="13" t="s">
        <v>56</v>
      </c>
      <c r="AS2" s="14">
        <v>4000</v>
      </c>
      <c r="AT2" s="15">
        <v>1000</v>
      </c>
      <c r="AU2" s="15">
        <v>1000</v>
      </c>
      <c r="AV2" s="15">
        <v>1000</v>
      </c>
      <c r="AW2" s="15">
        <v>1000</v>
      </c>
      <c r="AX2" s="16">
        <f>AM2*20%</f>
        <v>600</v>
      </c>
      <c r="AY2" s="17">
        <f>+AN2*20%</f>
        <v>0</v>
      </c>
      <c r="AZ2" s="17">
        <f>+AO2*20%</f>
        <v>0</v>
      </c>
      <c r="BA2" s="17">
        <f>+AP2*20%</f>
        <v>0</v>
      </c>
      <c r="BB2" s="17">
        <f>+AQ2*20%</f>
        <v>0</v>
      </c>
      <c r="BC2" s="13">
        <f>+AX2+AY2+AZ2+BA2+BB2</f>
        <v>600</v>
      </c>
      <c r="BD2" s="17"/>
      <c r="BE2" s="35"/>
    </row>
    <row r="3" spans="1:59" x14ac:dyDescent="0.25">
      <c r="A3" s="18">
        <v>2</v>
      </c>
      <c r="B3" s="13">
        <f t="shared" ref="B3:B37" si="3">C3+M3</f>
        <v>5000</v>
      </c>
      <c r="C3" s="13">
        <v>2000</v>
      </c>
      <c r="D3" s="13">
        <v>500</v>
      </c>
      <c r="E3" s="13">
        <v>0</v>
      </c>
      <c r="F3" s="13">
        <v>0</v>
      </c>
      <c r="G3" s="13">
        <v>0</v>
      </c>
      <c r="H3" s="13">
        <f t="shared" si="0"/>
        <v>240</v>
      </c>
      <c r="I3" s="13">
        <f t="shared" ref="I3:L37" si="4">+D3*9%</f>
        <v>45</v>
      </c>
      <c r="J3" s="13">
        <f t="shared" si="4"/>
        <v>0</v>
      </c>
      <c r="K3" s="13">
        <f t="shared" si="1"/>
        <v>0</v>
      </c>
      <c r="L3" s="13">
        <f t="shared" si="1"/>
        <v>0</v>
      </c>
      <c r="M3" s="13">
        <f t="shared" ref="M3:N37" si="5">+M2+AM3</f>
        <v>3000</v>
      </c>
      <c r="N3" s="13">
        <f t="shared" si="5"/>
        <v>0</v>
      </c>
      <c r="O3" s="13">
        <f t="shared" ref="O3:Q37" si="6">+O2+AO2</f>
        <v>0</v>
      </c>
      <c r="P3" s="13">
        <f t="shared" si="6"/>
        <v>0</v>
      </c>
      <c r="Q3" s="13">
        <f t="shared" si="6"/>
        <v>0</v>
      </c>
      <c r="R3" s="13">
        <f t="shared" ref="R3:R37" si="7">M3*9%</f>
        <v>270</v>
      </c>
      <c r="S3" s="13">
        <f t="shared" ref="S3:V37" si="8">+N3*9%</f>
        <v>0</v>
      </c>
      <c r="T3" s="13">
        <f t="shared" si="8"/>
        <v>0</v>
      </c>
      <c r="U3" s="13">
        <f t="shared" si="8"/>
        <v>0</v>
      </c>
      <c r="V3" s="13">
        <f t="shared" si="8"/>
        <v>0</v>
      </c>
      <c r="W3" s="13">
        <f>+(M3*10%)+(N3*50%)+(O3*40%)+(P3*30%)+(Q3*20%)</f>
        <v>300</v>
      </c>
      <c r="X3" s="13">
        <f>+(N3*10%)+(O3*50%)+(P3*40%)+(Q3*30%)</f>
        <v>0</v>
      </c>
      <c r="Y3" s="13">
        <f>+(O3*10%)+(P3*50%)+(Q3*40%)</f>
        <v>0</v>
      </c>
      <c r="Z3" s="13">
        <f>+(P3*10%)+(Q3*50%)</f>
        <v>0</v>
      </c>
      <c r="AA3" s="13">
        <f>(Q3*10%)</f>
        <v>0</v>
      </c>
      <c r="AB3" s="13">
        <f t="shared" ref="AB3:AB37" si="9">(W3+X3+Y3+Z3+AA3)*9%</f>
        <v>27</v>
      </c>
      <c r="AC3" s="13">
        <f t="shared" ref="AC3:AC37" si="10">(X3+Y3+Z3+AA3)*9%</f>
        <v>0</v>
      </c>
      <c r="AD3" s="13">
        <f t="shared" ref="AD3:AD37" si="11">(Y3+Z3+AA3)*9%</f>
        <v>0</v>
      </c>
      <c r="AE3" s="13">
        <f t="shared" ref="AE3:AE37" si="12">(Z3+AA3)*9%</f>
        <v>0</v>
      </c>
      <c r="AF3" s="13">
        <f t="shared" ref="AF3:AF37" si="13">+AA3*9%</f>
        <v>0</v>
      </c>
      <c r="AG3" s="13">
        <f t="shared" si="2"/>
        <v>537</v>
      </c>
      <c r="AH3" s="13">
        <f t="shared" ref="AH3:AH37" si="14">+AG3*41.25%</f>
        <v>221.51249999999999</v>
      </c>
      <c r="AI3" s="13">
        <f t="shared" ref="AI3:AI37" si="15">+AG3-((AG3*58.75%)*0.7)</f>
        <v>316.15875</v>
      </c>
      <c r="AJ3" s="13">
        <f t="shared" ref="AJ3:AJ37" si="16">+(AI3*0.7)+AH3</f>
        <v>442.82362499999999</v>
      </c>
      <c r="AK3" s="13">
        <f>+AL2+AJ3</f>
        <v>885.82362499999999</v>
      </c>
      <c r="AL3" s="13">
        <f>AK3-(AM3+AN3+AO3+AP3+AQ3)</f>
        <v>885.82362499999999</v>
      </c>
      <c r="AM3" s="19">
        <v>0</v>
      </c>
      <c r="AN3" s="19">
        <v>0</v>
      </c>
      <c r="AO3" s="19">
        <v>0</v>
      </c>
      <c r="AP3" s="19">
        <v>0</v>
      </c>
      <c r="AQ3" s="19"/>
      <c r="AR3" s="19">
        <v>0</v>
      </c>
      <c r="AS3" s="14">
        <f t="shared" ref="AS3:AS11" si="17">AS2-(H2+AB2+AX2)</f>
        <v>3133</v>
      </c>
      <c r="AT3" s="15">
        <f>AT2-(+I3+AC3+AY3)</f>
        <v>955</v>
      </c>
      <c r="AU3" s="15">
        <f>+AU2-(J3+AD3+BA2)</f>
        <v>1000</v>
      </c>
      <c r="AV3" s="15">
        <f>+AV2-(K2+AE2+BB2)</f>
        <v>1000</v>
      </c>
      <c r="AW3" s="15">
        <f>+AW2-(L2+AF2+BB2)</f>
        <v>1000</v>
      </c>
      <c r="AX3" s="16">
        <f t="shared" ref="AX3:AX37" si="18">AM3*20%</f>
        <v>0</v>
      </c>
      <c r="AY3" s="17">
        <f t="shared" ref="AY3:BB37" si="19">+AN3*20%</f>
        <v>0</v>
      </c>
      <c r="AZ3" s="17">
        <f t="shared" si="19"/>
        <v>0</v>
      </c>
      <c r="BA3" s="17">
        <f t="shared" si="19"/>
        <v>0</v>
      </c>
      <c r="BB3" s="17">
        <f t="shared" si="19"/>
        <v>0</v>
      </c>
      <c r="BC3" s="13">
        <f t="shared" ref="BC3:BC38" si="20">+AX3+AY3+AZ3+BA3+BB3</f>
        <v>0</v>
      </c>
      <c r="BD3" s="16"/>
      <c r="BE3" s="35"/>
    </row>
    <row r="4" spans="1:59" x14ac:dyDescent="0.25">
      <c r="A4" s="18">
        <v>3</v>
      </c>
      <c r="B4" s="13">
        <f t="shared" si="3"/>
        <v>5000</v>
      </c>
      <c r="C4" s="13">
        <v>2000</v>
      </c>
      <c r="D4" s="13">
        <v>500</v>
      </c>
      <c r="E4" s="13">
        <v>500</v>
      </c>
      <c r="F4" s="13">
        <v>0</v>
      </c>
      <c r="G4" s="13">
        <v>0</v>
      </c>
      <c r="H4" s="13">
        <f t="shared" si="0"/>
        <v>240</v>
      </c>
      <c r="I4" s="13">
        <f t="shared" si="4"/>
        <v>45</v>
      </c>
      <c r="J4" s="13">
        <f t="shared" si="4"/>
        <v>45</v>
      </c>
      <c r="K4" s="13">
        <f t="shared" si="1"/>
        <v>0</v>
      </c>
      <c r="L4" s="13">
        <f t="shared" si="1"/>
        <v>0</v>
      </c>
      <c r="M4" s="13">
        <f t="shared" si="5"/>
        <v>3000</v>
      </c>
      <c r="N4" s="13">
        <f t="shared" si="5"/>
        <v>500</v>
      </c>
      <c r="O4" s="13">
        <f t="shared" si="6"/>
        <v>0</v>
      </c>
      <c r="P4" s="13">
        <f t="shared" si="6"/>
        <v>0</v>
      </c>
      <c r="Q4" s="13">
        <f t="shared" si="6"/>
        <v>0</v>
      </c>
      <c r="R4" s="13">
        <f t="shared" si="7"/>
        <v>270</v>
      </c>
      <c r="S4" s="13">
        <f t="shared" si="8"/>
        <v>45</v>
      </c>
      <c r="T4" s="13">
        <f t="shared" si="8"/>
        <v>0</v>
      </c>
      <c r="U4" s="13">
        <f t="shared" si="8"/>
        <v>0</v>
      </c>
      <c r="V4" s="13">
        <f t="shared" si="8"/>
        <v>0</v>
      </c>
      <c r="W4" s="13">
        <f t="shared" ref="W4:W37" si="21">+(M4*10%)+(N4*50%)+(O4*40%)+(P4*30%)+(Q4*20%)</f>
        <v>550</v>
      </c>
      <c r="X4" s="13">
        <f t="shared" ref="X4:X37" si="22">+(N4*10%)+(O4*50%)+(P4*40%)+(Q4*30%)</f>
        <v>50</v>
      </c>
      <c r="Y4" s="13">
        <f t="shared" ref="Y4:Y37" si="23">+(O4*10%)+(P4*50%)+(Q4*40%)</f>
        <v>0</v>
      </c>
      <c r="Z4" s="13">
        <f t="shared" ref="Z4:Z37" si="24">+(P4*10%)+(Q4*50%)</f>
        <v>0</v>
      </c>
      <c r="AA4" s="13">
        <f t="shared" ref="AA4:AA37" si="25">(Q4*10%)</f>
        <v>0</v>
      </c>
      <c r="AB4" s="13">
        <f t="shared" si="9"/>
        <v>54</v>
      </c>
      <c r="AC4" s="13">
        <f t="shared" si="10"/>
        <v>4.5</v>
      </c>
      <c r="AD4" s="13">
        <f t="shared" si="11"/>
        <v>0</v>
      </c>
      <c r="AE4" s="13">
        <f t="shared" si="12"/>
        <v>0</v>
      </c>
      <c r="AF4" s="13">
        <f t="shared" si="13"/>
        <v>0</v>
      </c>
      <c r="AG4" s="13">
        <f t="shared" si="2"/>
        <v>613.5</v>
      </c>
      <c r="AH4" s="13">
        <f t="shared" si="14"/>
        <v>253.06874999999999</v>
      </c>
      <c r="AI4" s="13">
        <f t="shared" si="15"/>
        <v>361.198125</v>
      </c>
      <c r="AJ4" s="13">
        <f t="shared" si="16"/>
        <v>505.90743750000001</v>
      </c>
      <c r="AK4" s="13">
        <f t="shared" ref="AK4:AK37" si="26">+AL3+AJ4</f>
        <v>1391.7310625</v>
      </c>
      <c r="AL4" s="13">
        <f t="shared" ref="AL4:AL37" si="27">AK4-(AM4+AN4+AO4+AP4+AQ4)</f>
        <v>891.73106250000001</v>
      </c>
      <c r="AM4" s="19">
        <v>0</v>
      </c>
      <c r="AN4" s="19">
        <v>500</v>
      </c>
      <c r="AO4" s="19">
        <v>0</v>
      </c>
      <c r="AP4" s="19"/>
      <c r="AQ4" s="19"/>
      <c r="AR4" s="19">
        <v>7</v>
      </c>
      <c r="AS4" s="14">
        <f t="shared" si="17"/>
        <v>2866</v>
      </c>
      <c r="AT4" s="15">
        <f t="shared" ref="AT4:AT37" si="28">AT3-(+I4+AC4+AY4)</f>
        <v>805.5</v>
      </c>
      <c r="AU4" s="15">
        <f t="shared" ref="AU4:AU37" si="29">+AU3-(J4+AD4+BA3)</f>
        <v>955</v>
      </c>
      <c r="AV4" s="15">
        <f t="shared" ref="AV4:AV37" si="30">+AV3-(K3+AE3+BB3)</f>
        <v>1000</v>
      </c>
      <c r="AW4" s="15">
        <f t="shared" ref="AW4:AW37" si="31">+AW3-(L3+AF3+BB3)</f>
        <v>1000</v>
      </c>
      <c r="AX4" s="16">
        <f t="shared" si="18"/>
        <v>0</v>
      </c>
      <c r="AY4" s="17">
        <f t="shared" si="19"/>
        <v>100</v>
      </c>
      <c r="AZ4" s="17">
        <f t="shared" si="19"/>
        <v>0</v>
      </c>
      <c r="BA4" s="17">
        <f t="shared" si="19"/>
        <v>0</v>
      </c>
      <c r="BB4" s="17">
        <f t="shared" si="19"/>
        <v>0</v>
      </c>
      <c r="BC4" s="13">
        <f t="shared" si="20"/>
        <v>100</v>
      </c>
      <c r="BD4" s="16"/>
      <c r="BE4" s="35"/>
    </row>
    <row r="5" spans="1:59" x14ac:dyDescent="0.25">
      <c r="A5" s="18">
        <v>4</v>
      </c>
      <c r="B5" s="13">
        <f t="shared" si="3"/>
        <v>5000</v>
      </c>
      <c r="C5" s="13">
        <v>2000</v>
      </c>
      <c r="D5" s="13">
        <v>500</v>
      </c>
      <c r="E5" s="13">
        <v>500</v>
      </c>
      <c r="F5" s="13">
        <v>0</v>
      </c>
      <c r="G5" s="13">
        <v>0</v>
      </c>
      <c r="H5" s="13">
        <f t="shared" si="0"/>
        <v>240</v>
      </c>
      <c r="I5" s="13">
        <f t="shared" si="4"/>
        <v>45</v>
      </c>
      <c r="J5" s="13">
        <f t="shared" si="4"/>
        <v>45</v>
      </c>
      <c r="K5" s="13">
        <f t="shared" si="1"/>
        <v>0</v>
      </c>
      <c r="L5" s="13">
        <f t="shared" si="1"/>
        <v>0</v>
      </c>
      <c r="M5" s="13">
        <f t="shared" si="5"/>
        <v>3000</v>
      </c>
      <c r="N5" s="13">
        <f t="shared" si="5"/>
        <v>1000</v>
      </c>
      <c r="O5" s="13">
        <f t="shared" si="6"/>
        <v>0</v>
      </c>
      <c r="P5" s="13">
        <f t="shared" si="6"/>
        <v>0</v>
      </c>
      <c r="Q5" s="13">
        <f t="shared" si="6"/>
        <v>0</v>
      </c>
      <c r="R5" s="13">
        <f t="shared" si="7"/>
        <v>270</v>
      </c>
      <c r="S5" s="13">
        <f t="shared" si="8"/>
        <v>90</v>
      </c>
      <c r="T5" s="13">
        <f t="shared" si="8"/>
        <v>0</v>
      </c>
      <c r="U5" s="13">
        <f t="shared" si="8"/>
        <v>0</v>
      </c>
      <c r="V5" s="13">
        <f t="shared" si="8"/>
        <v>0</v>
      </c>
      <c r="W5" s="13">
        <f t="shared" si="21"/>
        <v>800</v>
      </c>
      <c r="X5" s="13">
        <f t="shared" si="22"/>
        <v>100</v>
      </c>
      <c r="Y5" s="13">
        <f t="shared" si="23"/>
        <v>0</v>
      </c>
      <c r="Z5" s="13">
        <f t="shared" si="24"/>
        <v>0</v>
      </c>
      <c r="AA5" s="13">
        <f t="shared" si="25"/>
        <v>0</v>
      </c>
      <c r="AB5" s="13">
        <f t="shared" si="9"/>
        <v>81</v>
      </c>
      <c r="AC5" s="13">
        <f t="shared" si="10"/>
        <v>9</v>
      </c>
      <c r="AD5" s="13">
        <f t="shared" si="11"/>
        <v>0</v>
      </c>
      <c r="AE5" s="13">
        <f t="shared" si="12"/>
        <v>0</v>
      </c>
      <c r="AF5" s="13">
        <f t="shared" si="13"/>
        <v>0</v>
      </c>
      <c r="AG5" s="13">
        <f t="shared" si="2"/>
        <v>690</v>
      </c>
      <c r="AH5" s="13">
        <f t="shared" si="14"/>
        <v>284.625</v>
      </c>
      <c r="AI5" s="13">
        <f t="shared" si="15"/>
        <v>406.23750000000001</v>
      </c>
      <c r="AJ5" s="13">
        <f t="shared" si="16"/>
        <v>568.99125000000004</v>
      </c>
      <c r="AK5" s="13">
        <f t="shared" si="26"/>
        <v>1460.7223125</v>
      </c>
      <c r="AL5" s="13">
        <f t="shared" si="27"/>
        <v>960.72231250000004</v>
      </c>
      <c r="AM5" s="19">
        <v>0</v>
      </c>
      <c r="AN5" s="19">
        <v>500</v>
      </c>
      <c r="AO5" s="19">
        <v>0</v>
      </c>
      <c r="AP5" s="19"/>
      <c r="AQ5" s="19"/>
      <c r="AR5" s="19">
        <v>8</v>
      </c>
      <c r="AS5" s="14">
        <f t="shared" si="17"/>
        <v>2572</v>
      </c>
      <c r="AT5" s="15">
        <f t="shared" si="28"/>
        <v>651.5</v>
      </c>
      <c r="AU5" s="15">
        <f t="shared" si="29"/>
        <v>910</v>
      </c>
      <c r="AV5" s="15">
        <f t="shared" si="30"/>
        <v>1000</v>
      </c>
      <c r="AW5" s="15">
        <f t="shared" si="31"/>
        <v>1000</v>
      </c>
      <c r="AX5" s="16">
        <f t="shared" si="18"/>
        <v>0</v>
      </c>
      <c r="AY5" s="17">
        <f t="shared" si="19"/>
        <v>100</v>
      </c>
      <c r="AZ5" s="17">
        <f t="shared" si="19"/>
        <v>0</v>
      </c>
      <c r="BA5" s="17">
        <f t="shared" si="19"/>
        <v>0</v>
      </c>
      <c r="BB5" s="17">
        <f t="shared" si="19"/>
        <v>0</v>
      </c>
      <c r="BC5" s="13">
        <f t="shared" si="20"/>
        <v>100</v>
      </c>
      <c r="BD5" s="16"/>
      <c r="BE5" s="35"/>
    </row>
    <row r="6" spans="1:59" x14ac:dyDescent="0.25">
      <c r="A6" s="11">
        <v>5</v>
      </c>
      <c r="B6" s="13">
        <f t="shared" si="3"/>
        <v>5000</v>
      </c>
      <c r="C6" s="13">
        <v>2000</v>
      </c>
      <c r="D6" s="13">
        <v>500</v>
      </c>
      <c r="E6" s="13">
        <v>500</v>
      </c>
      <c r="F6" s="13">
        <v>0</v>
      </c>
      <c r="G6" s="13">
        <v>0</v>
      </c>
      <c r="H6" s="13">
        <f t="shared" si="0"/>
        <v>240</v>
      </c>
      <c r="I6" s="13">
        <f t="shared" si="4"/>
        <v>45</v>
      </c>
      <c r="J6" s="13">
        <f t="shared" si="4"/>
        <v>45</v>
      </c>
      <c r="K6" s="13">
        <f t="shared" si="1"/>
        <v>0</v>
      </c>
      <c r="L6" s="13">
        <f t="shared" si="1"/>
        <v>0</v>
      </c>
      <c r="M6" s="13">
        <f t="shared" si="5"/>
        <v>3000</v>
      </c>
      <c r="N6" s="13">
        <f t="shared" si="5"/>
        <v>1500</v>
      </c>
      <c r="O6" s="13">
        <f t="shared" si="6"/>
        <v>0</v>
      </c>
      <c r="P6" s="13">
        <f t="shared" si="6"/>
        <v>0</v>
      </c>
      <c r="Q6" s="13">
        <f t="shared" si="6"/>
        <v>0</v>
      </c>
      <c r="R6" s="13">
        <f t="shared" si="7"/>
        <v>270</v>
      </c>
      <c r="S6" s="13">
        <f t="shared" si="8"/>
        <v>135</v>
      </c>
      <c r="T6" s="13">
        <f t="shared" si="8"/>
        <v>0</v>
      </c>
      <c r="U6" s="13">
        <f t="shared" si="8"/>
        <v>0</v>
      </c>
      <c r="V6" s="13">
        <f t="shared" si="8"/>
        <v>0</v>
      </c>
      <c r="W6" s="13">
        <f t="shared" si="21"/>
        <v>1050</v>
      </c>
      <c r="X6" s="13">
        <f t="shared" si="22"/>
        <v>150</v>
      </c>
      <c r="Y6" s="13">
        <f t="shared" si="23"/>
        <v>0</v>
      </c>
      <c r="Z6" s="13">
        <f t="shared" si="24"/>
        <v>0</v>
      </c>
      <c r="AA6" s="13">
        <f t="shared" si="25"/>
        <v>0</v>
      </c>
      <c r="AB6" s="13">
        <f t="shared" si="9"/>
        <v>108</v>
      </c>
      <c r="AC6" s="13">
        <f t="shared" si="10"/>
        <v>13.5</v>
      </c>
      <c r="AD6" s="13">
        <f t="shared" si="11"/>
        <v>0</v>
      </c>
      <c r="AE6" s="13">
        <f t="shared" si="12"/>
        <v>0</v>
      </c>
      <c r="AF6" s="13">
        <f t="shared" si="13"/>
        <v>0</v>
      </c>
      <c r="AG6" s="13">
        <f t="shared" si="2"/>
        <v>766.5</v>
      </c>
      <c r="AH6" s="13">
        <f t="shared" si="14"/>
        <v>316.18124999999998</v>
      </c>
      <c r="AI6" s="13">
        <f t="shared" si="15"/>
        <v>451.27687500000002</v>
      </c>
      <c r="AJ6" s="13">
        <f t="shared" si="16"/>
        <v>632.07506249999994</v>
      </c>
      <c r="AK6" s="13">
        <f t="shared" si="26"/>
        <v>1592.7973750000001</v>
      </c>
      <c r="AL6" s="13">
        <f t="shared" si="27"/>
        <v>1092.7973750000001</v>
      </c>
      <c r="AM6" s="19">
        <v>0</v>
      </c>
      <c r="AN6" s="19">
        <v>500</v>
      </c>
      <c r="AO6" s="19">
        <v>0</v>
      </c>
      <c r="AP6" s="19"/>
      <c r="AQ6" s="19"/>
      <c r="AR6" s="19">
        <v>9</v>
      </c>
      <c r="AS6" s="14">
        <f t="shared" si="17"/>
        <v>2251</v>
      </c>
      <c r="AT6" s="15">
        <f t="shared" si="28"/>
        <v>493</v>
      </c>
      <c r="AU6" s="15">
        <f t="shared" si="29"/>
        <v>865</v>
      </c>
      <c r="AV6" s="15">
        <f t="shared" si="30"/>
        <v>1000</v>
      </c>
      <c r="AW6" s="15">
        <f t="shared" si="31"/>
        <v>1000</v>
      </c>
      <c r="AX6" s="16">
        <f t="shared" si="18"/>
        <v>0</v>
      </c>
      <c r="AY6" s="17">
        <f t="shared" si="19"/>
        <v>100</v>
      </c>
      <c r="AZ6" s="17">
        <f t="shared" si="19"/>
        <v>0</v>
      </c>
      <c r="BA6" s="17">
        <f t="shared" si="19"/>
        <v>0</v>
      </c>
      <c r="BB6" s="17">
        <f t="shared" si="19"/>
        <v>0</v>
      </c>
      <c r="BC6" s="13">
        <f t="shared" si="20"/>
        <v>100</v>
      </c>
      <c r="BD6" s="16"/>
      <c r="BE6" s="35"/>
    </row>
    <row r="7" spans="1:59" x14ac:dyDescent="0.25">
      <c r="A7" s="18">
        <v>6</v>
      </c>
      <c r="B7" s="13">
        <f t="shared" si="3"/>
        <v>5000</v>
      </c>
      <c r="C7" s="13">
        <v>2000</v>
      </c>
      <c r="D7" s="13">
        <v>500</v>
      </c>
      <c r="E7" s="13">
        <v>500</v>
      </c>
      <c r="F7" s="13">
        <v>0</v>
      </c>
      <c r="G7" s="13">
        <v>0</v>
      </c>
      <c r="H7" s="13">
        <f t="shared" si="0"/>
        <v>240</v>
      </c>
      <c r="I7" s="13">
        <f t="shared" si="4"/>
        <v>45</v>
      </c>
      <c r="J7" s="13">
        <f t="shared" si="4"/>
        <v>45</v>
      </c>
      <c r="K7" s="13">
        <f t="shared" si="1"/>
        <v>0</v>
      </c>
      <c r="L7" s="13">
        <f t="shared" si="1"/>
        <v>0</v>
      </c>
      <c r="M7" s="13">
        <f t="shared" si="5"/>
        <v>3000</v>
      </c>
      <c r="N7" s="13">
        <f t="shared" si="5"/>
        <v>2000</v>
      </c>
      <c r="O7" s="13">
        <f t="shared" si="6"/>
        <v>0</v>
      </c>
      <c r="P7" s="13">
        <f t="shared" si="6"/>
        <v>0</v>
      </c>
      <c r="Q7" s="13">
        <f t="shared" si="6"/>
        <v>0</v>
      </c>
      <c r="R7" s="13">
        <f t="shared" si="7"/>
        <v>270</v>
      </c>
      <c r="S7" s="13">
        <f t="shared" si="8"/>
        <v>180</v>
      </c>
      <c r="T7" s="13">
        <f t="shared" si="8"/>
        <v>0</v>
      </c>
      <c r="U7" s="13">
        <f t="shared" si="8"/>
        <v>0</v>
      </c>
      <c r="V7" s="13">
        <f t="shared" si="8"/>
        <v>0</v>
      </c>
      <c r="W7" s="13">
        <f t="shared" si="21"/>
        <v>1300</v>
      </c>
      <c r="X7" s="13">
        <f t="shared" si="22"/>
        <v>200</v>
      </c>
      <c r="Y7" s="13">
        <f t="shared" si="23"/>
        <v>0</v>
      </c>
      <c r="Z7" s="13">
        <f t="shared" si="24"/>
        <v>0</v>
      </c>
      <c r="AA7" s="13">
        <f t="shared" si="25"/>
        <v>0</v>
      </c>
      <c r="AB7" s="13">
        <f t="shared" si="9"/>
        <v>135</v>
      </c>
      <c r="AC7" s="13">
        <f t="shared" si="10"/>
        <v>18</v>
      </c>
      <c r="AD7" s="13">
        <f t="shared" si="11"/>
        <v>0</v>
      </c>
      <c r="AE7" s="13">
        <f t="shared" si="12"/>
        <v>0</v>
      </c>
      <c r="AF7" s="13">
        <f t="shared" si="13"/>
        <v>0</v>
      </c>
      <c r="AG7" s="13">
        <f t="shared" si="2"/>
        <v>843</v>
      </c>
      <c r="AH7" s="13">
        <f t="shared" si="14"/>
        <v>347.73749999999995</v>
      </c>
      <c r="AI7" s="13">
        <f t="shared" si="15"/>
        <v>496.31624999999997</v>
      </c>
      <c r="AJ7" s="13">
        <f t="shared" si="16"/>
        <v>695.15887499999985</v>
      </c>
      <c r="AK7" s="13">
        <f t="shared" si="26"/>
        <v>1787.95625</v>
      </c>
      <c r="AL7" s="13">
        <f t="shared" si="27"/>
        <v>1287.95625</v>
      </c>
      <c r="AM7" s="19">
        <v>0</v>
      </c>
      <c r="AN7" s="19">
        <v>500</v>
      </c>
      <c r="AO7" s="19">
        <v>0</v>
      </c>
      <c r="AP7" s="19"/>
      <c r="AQ7" s="19"/>
      <c r="AR7" s="19">
        <v>10</v>
      </c>
      <c r="AS7" s="14">
        <f t="shared" si="17"/>
        <v>1903</v>
      </c>
      <c r="AT7" s="15">
        <f t="shared" si="28"/>
        <v>330</v>
      </c>
      <c r="AU7" s="15">
        <f t="shared" si="29"/>
        <v>820</v>
      </c>
      <c r="AV7" s="15">
        <f t="shared" si="30"/>
        <v>1000</v>
      </c>
      <c r="AW7" s="15">
        <f t="shared" si="31"/>
        <v>1000</v>
      </c>
      <c r="AX7" s="16">
        <f t="shared" si="18"/>
        <v>0</v>
      </c>
      <c r="AY7" s="17">
        <f t="shared" si="19"/>
        <v>100</v>
      </c>
      <c r="AZ7" s="17">
        <f t="shared" si="19"/>
        <v>0</v>
      </c>
      <c r="BA7" s="17">
        <f t="shared" si="19"/>
        <v>0</v>
      </c>
      <c r="BB7" s="17">
        <f t="shared" si="19"/>
        <v>0</v>
      </c>
      <c r="BC7" s="13">
        <f t="shared" si="20"/>
        <v>100</v>
      </c>
      <c r="BD7" s="16">
        <f>+BC2+BC3+BC4+BC5+BC6+BC7</f>
        <v>1000</v>
      </c>
      <c r="BE7" s="35">
        <f>+BD7*0.85</f>
        <v>850</v>
      </c>
    </row>
    <row r="8" spans="1:59" x14ac:dyDescent="0.25">
      <c r="A8" s="18">
        <v>7</v>
      </c>
      <c r="B8" s="13">
        <f t="shared" si="3"/>
        <v>5500</v>
      </c>
      <c r="C8" s="13">
        <v>2000</v>
      </c>
      <c r="D8" s="59">
        <f>500+1000</f>
        <v>1500</v>
      </c>
      <c r="E8" s="13">
        <v>500</v>
      </c>
      <c r="F8" s="13">
        <v>0</v>
      </c>
      <c r="G8" s="13">
        <v>0</v>
      </c>
      <c r="H8" s="13">
        <f t="shared" si="0"/>
        <v>240</v>
      </c>
      <c r="I8" s="13">
        <f t="shared" si="4"/>
        <v>135</v>
      </c>
      <c r="J8" s="13">
        <f t="shared" si="4"/>
        <v>45</v>
      </c>
      <c r="K8" s="13">
        <f t="shared" si="1"/>
        <v>0</v>
      </c>
      <c r="L8" s="13">
        <f t="shared" si="1"/>
        <v>0</v>
      </c>
      <c r="M8" s="13">
        <f t="shared" si="5"/>
        <v>3500</v>
      </c>
      <c r="N8" s="13">
        <f t="shared" si="5"/>
        <v>2000</v>
      </c>
      <c r="O8" s="13">
        <f t="shared" si="6"/>
        <v>0</v>
      </c>
      <c r="P8" s="13">
        <f t="shared" si="6"/>
        <v>0</v>
      </c>
      <c r="Q8" s="13">
        <f t="shared" si="6"/>
        <v>0</v>
      </c>
      <c r="R8" s="13">
        <f t="shared" si="7"/>
        <v>315</v>
      </c>
      <c r="S8" s="13">
        <f t="shared" si="8"/>
        <v>180</v>
      </c>
      <c r="T8" s="13">
        <f t="shared" si="8"/>
        <v>0</v>
      </c>
      <c r="U8" s="13">
        <f t="shared" si="8"/>
        <v>0</v>
      </c>
      <c r="V8" s="13">
        <f t="shared" si="8"/>
        <v>0</v>
      </c>
      <c r="W8" s="13">
        <f t="shared" si="21"/>
        <v>1350</v>
      </c>
      <c r="X8" s="13">
        <f t="shared" si="22"/>
        <v>200</v>
      </c>
      <c r="Y8" s="13">
        <f t="shared" si="23"/>
        <v>0</v>
      </c>
      <c r="Z8" s="13">
        <f t="shared" si="24"/>
        <v>0</v>
      </c>
      <c r="AA8" s="13">
        <f t="shared" si="25"/>
        <v>0</v>
      </c>
      <c r="AB8" s="13">
        <f t="shared" si="9"/>
        <v>139.5</v>
      </c>
      <c r="AC8" s="13">
        <f t="shared" si="10"/>
        <v>18</v>
      </c>
      <c r="AD8" s="13">
        <f t="shared" si="11"/>
        <v>0</v>
      </c>
      <c r="AE8" s="13">
        <f t="shared" si="12"/>
        <v>0</v>
      </c>
      <c r="AF8" s="13">
        <f t="shared" si="13"/>
        <v>0</v>
      </c>
      <c r="AG8" s="13">
        <f t="shared" si="2"/>
        <v>892.5</v>
      </c>
      <c r="AH8" s="13">
        <f t="shared" si="14"/>
        <v>368.15625</v>
      </c>
      <c r="AI8" s="13">
        <f t="shared" si="15"/>
        <v>525.45937500000002</v>
      </c>
      <c r="AJ8" s="13">
        <f t="shared" si="16"/>
        <v>735.97781250000003</v>
      </c>
      <c r="AK8" s="13">
        <f t="shared" si="26"/>
        <v>2023.9340625</v>
      </c>
      <c r="AL8" s="13">
        <f>(AK8-(AM8+AN8+AO8+AP8+AQ8))-BE7</f>
        <v>673.93406249999998</v>
      </c>
      <c r="AM8" s="19">
        <v>500</v>
      </c>
      <c r="AN8" s="19">
        <v>0</v>
      </c>
      <c r="AO8" s="19">
        <v>0</v>
      </c>
      <c r="AP8" s="19"/>
      <c r="AQ8" s="19"/>
      <c r="AR8" s="19">
        <v>11</v>
      </c>
      <c r="AS8" s="14">
        <f t="shared" si="17"/>
        <v>1528</v>
      </c>
      <c r="AT8" s="61">
        <f>(AT7-(+I8+AC8+AY8))+2000</f>
        <v>2177</v>
      </c>
      <c r="AU8" s="15">
        <f t="shared" si="29"/>
        <v>775</v>
      </c>
      <c r="AV8" s="15">
        <f t="shared" si="30"/>
        <v>1000</v>
      </c>
      <c r="AW8" s="15">
        <f t="shared" si="31"/>
        <v>1000</v>
      </c>
      <c r="AX8" s="16">
        <f t="shared" si="18"/>
        <v>100</v>
      </c>
      <c r="AY8" s="17">
        <f t="shared" si="19"/>
        <v>0</v>
      </c>
      <c r="AZ8" s="17">
        <f t="shared" si="19"/>
        <v>0</v>
      </c>
      <c r="BA8" s="17">
        <f t="shared" si="19"/>
        <v>0</v>
      </c>
      <c r="BB8" s="17">
        <f t="shared" si="19"/>
        <v>0</v>
      </c>
      <c r="BC8" s="13">
        <f t="shared" si="20"/>
        <v>100</v>
      </c>
      <c r="BD8" s="16">
        <v>1000</v>
      </c>
      <c r="BE8" s="36">
        <f>+BD8-BE7</f>
        <v>150</v>
      </c>
    </row>
    <row r="9" spans="1:59" x14ac:dyDescent="0.25">
      <c r="A9" s="18">
        <v>8</v>
      </c>
      <c r="B9" s="13">
        <f t="shared" si="3"/>
        <v>6000</v>
      </c>
      <c r="C9" s="13">
        <v>2000</v>
      </c>
      <c r="D9" s="13">
        <f t="shared" ref="D9:D17" si="32">500+1000</f>
        <v>1500</v>
      </c>
      <c r="E9" s="13">
        <v>500</v>
      </c>
      <c r="F9" s="13">
        <v>0</v>
      </c>
      <c r="G9" s="13">
        <v>0</v>
      </c>
      <c r="H9" s="13">
        <f t="shared" si="0"/>
        <v>240</v>
      </c>
      <c r="I9" s="13">
        <f t="shared" si="4"/>
        <v>135</v>
      </c>
      <c r="J9" s="13">
        <f t="shared" si="4"/>
        <v>45</v>
      </c>
      <c r="K9" s="13">
        <f t="shared" si="1"/>
        <v>0</v>
      </c>
      <c r="L9" s="13">
        <f t="shared" si="1"/>
        <v>0</v>
      </c>
      <c r="M9" s="13">
        <f t="shared" si="5"/>
        <v>4000</v>
      </c>
      <c r="N9" s="13">
        <f t="shared" si="5"/>
        <v>2000</v>
      </c>
      <c r="O9" s="13">
        <f t="shared" si="6"/>
        <v>0</v>
      </c>
      <c r="P9" s="13">
        <f t="shared" si="6"/>
        <v>0</v>
      </c>
      <c r="Q9" s="13">
        <f t="shared" si="6"/>
        <v>0</v>
      </c>
      <c r="R9" s="13">
        <f t="shared" si="7"/>
        <v>360</v>
      </c>
      <c r="S9" s="13">
        <f t="shared" si="8"/>
        <v>180</v>
      </c>
      <c r="T9" s="13">
        <f t="shared" si="8"/>
        <v>0</v>
      </c>
      <c r="U9" s="13">
        <f t="shared" si="8"/>
        <v>0</v>
      </c>
      <c r="V9" s="13">
        <f t="shared" si="8"/>
        <v>0</v>
      </c>
      <c r="W9" s="13">
        <f t="shared" si="21"/>
        <v>1400</v>
      </c>
      <c r="X9" s="13">
        <f t="shared" si="22"/>
        <v>200</v>
      </c>
      <c r="Y9" s="13">
        <f t="shared" si="23"/>
        <v>0</v>
      </c>
      <c r="Z9" s="13">
        <f t="shared" si="24"/>
        <v>0</v>
      </c>
      <c r="AA9" s="13">
        <f t="shared" si="25"/>
        <v>0</v>
      </c>
      <c r="AB9" s="13">
        <f t="shared" si="9"/>
        <v>144</v>
      </c>
      <c r="AC9" s="13">
        <f t="shared" si="10"/>
        <v>18</v>
      </c>
      <c r="AD9" s="13">
        <f t="shared" si="11"/>
        <v>0</v>
      </c>
      <c r="AE9" s="13">
        <f t="shared" si="12"/>
        <v>0</v>
      </c>
      <c r="AF9" s="13">
        <f t="shared" si="13"/>
        <v>0</v>
      </c>
      <c r="AG9" s="13">
        <f t="shared" si="2"/>
        <v>942</v>
      </c>
      <c r="AH9" s="13">
        <f t="shared" si="14"/>
        <v>388.57499999999999</v>
      </c>
      <c r="AI9" s="13">
        <f t="shared" si="15"/>
        <v>554.60249999999996</v>
      </c>
      <c r="AJ9" s="13">
        <f t="shared" si="16"/>
        <v>776.79674999999997</v>
      </c>
      <c r="AK9" s="13">
        <f t="shared" si="26"/>
        <v>1450.7308125</v>
      </c>
      <c r="AL9" s="13">
        <f t="shared" si="27"/>
        <v>950.73081249999996</v>
      </c>
      <c r="AM9" s="19">
        <v>500</v>
      </c>
      <c r="AN9" s="19">
        <v>0</v>
      </c>
      <c r="AO9" s="19">
        <v>0</v>
      </c>
      <c r="AP9" s="19"/>
      <c r="AQ9" s="19"/>
      <c r="AR9" s="19">
        <v>12</v>
      </c>
      <c r="AS9" s="14">
        <f t="shared" si="17"/>
        <v>1048.5</v>
      </c>
      <c r="AT9" s="15">
        <f t="shared" si="28"/>
        <v>2024</v>
      </c>
      <c r="AU9" s="15">
        <f t="shared" si="29"/>
        <v>730</v>
      </c>
      <c r="AV9" s="15">
        <f t="shared" si="30"/>
        <v>1000</v>
      </c>
      <c r="AW9" s="15">
        <f t="shared" si="31"/>
        <v>1000</v>
      </c>
      <c r="AX9" s="16">
        <f t="shared" si="18"/>
        <v>100</v>
      </c>
      <c r="AY9" s="17">
        <f t="shared" si="19"/>
        <v>0</v>
      </c>
      <c r="AZ9" s="17">
        <f t="shared" si="19"/>
        <v>0</v>
      </c>
      <c r="BA9" s="17">
        <f t="shared" si="19"/>
        <v>0</v>
      </c>
      <c r="BB9" s="17">
        <f t="shared" si="19"/>
        <v>0</v>
      </c>
      <c r="BC9" s="13">
        <f t="shared" si="20"/>
        <v>100</v>
      </c>
      <c r="BD9" s="16">
        <v>0</v>
      </c>
      <c r="BE9" s="35">
        <f>+BD9*0.7</f>
        <v>0</v>
      </c>
    </row>
    <row r="10" spans="1:59" x14ac:dyDescent="0.25">
      <c r="A10" s="11">
        <v>9</v>
      </c>
      <c r="B10" s="13">
        <f t="shared" si="3"/>
        <v>6500</v>
      </c>
      <c r="C10" s="13">
        <v>2000</v>
      </c>
      <c r="D10" s="13">
        <f t="shared" si="32"/>
        <v>1500</v>
      </c>
      <c r="E10" s="13">
        <v>500</v>
      </c>
      <c r="F10" s="13">
        <v>0</v>
      </c>
      <c r="G10" s="13">
        <v>0</v>
      </c>
      <c r="H10" s="13">
        <f t="shared" si="0"/>
        <v>240</v>
      </c>
      <c r="I10" s="13">
        <f t="shared" si="4"/>
        <v>135</v>
      </c>
      <c r="J10" s="13">
        <f t="shared" si="4"/>
        <v>45</v>
      </c>
      <c r="K10" s="13">
        <f t="shared" si="1"/>
        <v>0</v>
      </c>
      <c r="L10" s="13">
        <f t="shared" si="1"/>
        <v>0</v>
      </c>
      <c r="M10" s="13">
        <f t="shared" si="5"/>
        <v>4500</v>
      </c>
      <c r="N10" s="13">
        <f t="shared" si="5"/>
        <v>2000</v>
      </c>
      <c r="O10" s="13">
        <f t="shared" si="6"/>
        <v>0</v>
      </c>
      <c r="P10" s="13">
        <f t="shared" si="6"/>
        <v>0</v>
      </c>
      <c r="Q10" s="13">
        <f t="shared" si="6"/>
        <v>0</v>
      </c>
      <c r="R10" s="13">
        <f t="shared" si="7"/>
        <v>405</v>
      </c>
      <c r="S10" s="13">
        <f t="shared" si="8"/>
        <v>180</v>
      </c>
      <c r="T10" s="13">
        <f t="shared" si="8"/>
        <v>0</v>
      </c>
      <c r="U10" s="13">
        <f t="shared" si="8"/>
        <v>0</v>
      </c>
      <c r="V10" s="13">
        <f t="shared" si="8"/>
        <v>0</v>
      </c>
      <c r="W10" s="13">
        <f t="shared" si="21"/>
        <v>1450</v>
      </c>
      <c r="X10" s="13">
        <f t="shared" si="22"/>
        <v>200</v>
      </c>
      <c r="Y10" s="13">
        <f t="shared" si="23"/>
        <v>0</v>
      </c>
      <c r="Z10" s="13">
        <f t="shared" si="24"/>
        <v>0</v>
      </c>
      <c r="AA10" s="13">
        <f t="shared" si="25"/>
        <v>0</v>
      </c>
      <c r="AB10" s="13">
        <f t="shared" si="9"/>
        <v>148.5</v>
      </c>
      <c r="AC10" s="13">
        <f t="shared" si="10"/>
        <v>18</v>
      </c>
      <c r="AD10" s="13">
        <f t="shared" si="11"/>
        <v>0</v>
      </c>
      <c r="AE10" s="13">
        <f t="shared" si="12"/>
        <v>0</v>
      </c>
      <c r="AF10" s="13">
        <f t="shared" si="13"/>
        <v>0</v>
      </c>
      <c r="AG10" s="13">
        <f t="shared" si="2"/>
        <v>991.5</v>
      </c>
      <c r="AH10" s="13">
        <f t="shared" si="14"/>
        <v>408.99374999999998</v>
      </c>
      <c r="AI10" s="13">
        <f t="shared" si="15"/>
        <v>583.74562500000002</v>
      </c>
      <c r="AJ10" s="13">
        <f t="shared" si="16"/>
        <v>817.61568749999992</v>
      </c>
      <c r="AK10" s="13">
        <f t="shared" si="26"/>
        <v>1768.3464999999999</v>
      </c>
      <c r="AL10" s="13">
        <f t="shared" si="27"/>
        <v>1268.3464999999999</v>
      </c>
      <c r="AM10" s="19">
        <v>500</v>
      </c>
      <c r="AN10" s="19">
        <v>0</v>
      </c>
      <c r="AO10" s="19"/>
      <c r="AP10" s="19"/>
      <c r="AQ10" s="19"/>
      <c r="AR10" s="19">
        <v>13</v>
      </c>
      <c r="AS10" s="14">
        <f t="shared" si="17"/>
        <v>564.5</v>
      </c>
      <c r="AT10" s="15">
        <f t="shared" si="28"/>
        <v>1871</v>
      </c>
      <c r="AU10" s="15">
        <f t="shared" si="29"/>
        <v>685</v>
      </c>
      <c r="AV10" s="15">
        <f t="shared" si="30"/>
        <v>1000</v>
      </c>
      <c r="AW10" s="15">
        <f t="shared" si="31"/>
        <v>1000</v>
      </c>
      <c r="AX10" s="16">
        <f t="shared" si="18"/>
        <v>100</v>
      </c>
      <c r="AY10" s="17">
        <f t="shared" si="19"/>
        <v>0</v>
      </c>
      <c r="AZ10" s="17">
        <f t="shared" si="19"/>
        <v>0</v>
      </c>
      <c r="BA10" s="17">
        <f t="shared" si="19"/>
        <v>0</v>
      </c>
      <c r="BB10" s="17">
        <f t="shared" si="19"/>
        <v>0</v>
      </c>
      <c r="BC10" s="13">
        <f t="shared" si="20"/>
        <v>100</v>
      </c>
      <c r="BD10" s="16">
        <v>0</v>
      </c>
      <c r="BE10" s="37">
        <v>0</v>
      </c>
    </row>
    <row r="11" spans="1:59" x14ac:dyDescent="0.25">
      <c r="A11" s="18">
        <v>10</v>
      </c>
      <c r="B11" s="13">
        <f t="shared" si="3"/>
        <v>7000</v>
      </c>
      <c r="C11" s="13">
        <v>2000</v>
      </c>
      <c r="D11" s="13">
        <f t="shared" si="32"/>
        <v>1500</v>
      </c>
      <c r="E11" s="13">
        <v>500</v>
      </c>
      <c r="F11" s="13">
        <v>0</v>
      </c>
      <c r="G11" s="13">
        <v>0</v>
      </c>
      <c r="H11" s="13">
        <f t="shared" si="0"/>
        <v>240</v>
      </c>
      <c r="I11" s="13">
        <f t="shared" si="4"/>
        <v>135</v>
      </c>
      <c r="J11" s="13">
        <f t="shared" si="4"/>
        <v>45</v>
      </c>
      <c r="K11" s="13">
        <f t="shared" si="1"/>
        <v>0</v>
      </c>
      <c r="L11" s="13">
        <f t="shared" si="1"/>
        <v>0</v>
      </c>
      <c r="M11" s="13">
        <f t="shared" si="5"/>
        <v>5000</v>
      </c>
      <c r="N11" s="13">
        <f t="shared" si="5"/>
        <v>2000</v>
      </c>
      <c r="O11" s="13">
        <f t="shared" si="6"/>
        <v>0</v>
      </c>
      <c r="P11" s="13">
        <f t="shared" si="6"/>
        <v>0</v>
      </c>
      <c r="Q11" s="13">
        <f t="shared" si="6"/>
        <v>0</v>
      </c>
      <c r="R11" s="13">
        <f t="shared" si="7"/>
        <v>450</v>
      </c>
      <c r="S11" s="13">
        <f t="shared" si="8"/>
        <v>180</v>
      </c>
      <c r="T11" s="13">
        <f t="shared" si="8"/>
        <v>0</v>
      </c>
      <c r="U11" s="13">
        <f t="shared" si="8"/>
        <v>0</v>
      </c>
      <c r="V11" s="13">
        <f t="shared" si="8"/>
        <v>0</v>
      </c>
      <c r="W11" s="13">
        <f t="shared" si="21"/>
        <v>1500</v>
      </c>
      <c r="X11" s="13">
        <f t="shared" si="22"/>
        <v>200</v>
      </c>
      <c r="Y11" s="13">
        <f t="shared" si="23"/>
        <v>0</v>
      </c>
      <c r="Z11" s="13">
        <f t="shared" si="24"/>
        <v>0</v>
      </c>
      <c r="AA11" s="13">
        <f t="shared" si="25"/>
        <v>0</v>
      </c>
      <c r="AB11" s="13">
        <f t="shared" si="9"/>
        <v>153</v>
      </c>
      <c r="AC11" s="13">
        <f t="shared" si="10"/>
        <v>18</v>
      </c>
      <c r="AD11" s="13">
        <f t="shared" si="11"/>
        <v>0</v>
      </c>
      <c r="AE11" s="13">
        <f t="shared" si="12"/>
        <v>0</v>
      </c>
      <c r="AF11" s="13">
        <f t="shared" si="13"/>
        <v>0</v>
      </c>
      <c r="AG11" s="13">
        <f t="shared" si="2"/>
        <v>1041</v>
      </c>
      <c r="AH11" s="13">
        <f t="shared" si="14"/>
        <v>429.41249999999997</v>
      </c>
      <c r="AI11" s="13">
        <f t="shared" si="15"/>
        <v>612.88875000000007</v>
      </c>
      <c r="AJ11" s="13">
        <f t="shared" si="16"/>
        <v>858.43462499999998</v>
      </c>
      <c r="AK11" s="13">
        <f t="shared" si="26"/>
        <v>2126.781125</v>
      </c>
      <c r="AL11" s="13">
        <f t="shared" si="27"/>
        <v>1626.781125</v>
      </c>
      <c r="AM11" s="19">
        <v>500</v>
      </c>
      <c r="AN11" s="19">
        <v>0</v>
      </c>
      <c r="AO11" s="19"/>
      <c r="AP11" s="19"/>
      <c r="AQ11" s="19"/>
      <c r="AR11" s="19">
        <v>14</v>
      </c>
      <c r="AS11" s="14">
        <f t="shared" si="17"/>
        <v>76</v>
      </c>
      <c r="AT11" s="15">
        <f t="shared" si="28"/>
        <v>1718</v>
      </c>
      <c r="AU11" s="15">
        <f t="shared" si="29"/>
        <v>640</v>
      </c>
      <c r="AV11" s="15">
        <f t="shared" si="30"/>
        <v>1000</v>
      </c>
      <c r="AW11" s="15">
        <f t="shared" si="31"/>
        <v>1000</v>
      </c>
      <c r="AX11" s="16">
        <f t="shared" si="18"/>
        <v>100</v>
      </c>
      <c r="AY11" s="17">
        <f t="shared" si="19"/>
        <v>0</v>
      </c>
      <c r="AZ11" s="17">
        <f t="shared" si="19"/>
        <v>0</v>
      </c>
      <c r="BA11" s="17">
        <f t="shared" si="19"/>
        <v>0</v>
      </c>
      <c r="BB11" s="17">
        <f t="shared" si="19"/>
        <v>0</v>
      </c>
      <c r="BC11" s="13">
        <f t="shared" si="20"/>
        <v>100</v>
      </c>
      <c r="BD11" s="16">
        <f>+BC8+BC9+BC10+BC11</f>
        <v>400</v>
      </c>
      <c r="BE11" s="35">
        <f>+BD11*0.85</f>
        <v>340</v>
      </c>
    </row>
    <row r="12" spans="1:59" x14ac:dyDescent="0.25">
      <c r="A12" s="18">
        <v>11</v>
      </c>
      <c r="B12" s="13">
        <f t="shared" si="3"/>
        <v>10000</v>
      </c>
      <c r="C12" s="59">
        <f>2000+2500</f>
        <v>4500</v>
      </c>
      <c r="D12" s="13">
        <f t="shared" si="32"/>
        <v>1500</v>
      </c>
      <c r="E12" s="13">
        <v>500</v>
      </c>
      <c r="F12" s="13">
        <v>0</v>
      </c>
      <c r="G12" s="13">
        <v>0</v>
      </c>
      <c r="H12" s="13">
        <f t="shared" si="0"/>
        <v>540</v>
      </c>
      <c r="I12" s="13">
        <f t="shared" si="4"/>
        <v>135</v>
      </c>
      <c r="J12" s="13">
        <f t="shared" si="4"/>
        <v>45</v>
      </c>
      <c r="K12" s="13">
        <f t="shared" si="1"/>
        <v>0</v>
      </c>
      <c r="L12" s="13">
        <f t="shared" si="1"/>
        <v>0</v>
      </c>
      <c r="M12" s="13">
        <f t="shared" si="5"/>
        <v>5500</v>
      </c>
      <c r="N12" s="13">
        <f t="shared" si="5"/>
        <v>2000</v>
      </c>
      <c r="O12" s="13">
        <f t="shared" si="6"/>
        <v>0</v>
      </c>
      <c r="P12" s="13">
        <f t="shared" si="6"/>
        <v>0</v>
      </c>
      <c r="Q12" s="13">
        <f t="shared" si="6"/>
        <v>0</v>
      </c>
      <c r="R12" s="13">
        <f t="shared" si="7"/>
        <v>495</v>
      </c>
      <c r="S12" s="13">
        <f t="shared" si="8"/>
        <v>180</v>
      </c>
      <c r="T12" s="13">
        <f t="shared" si="8"/>
        <v>0</v>
      </c>
      <c r="U12" s="13">
        <f t="shared" si="8"/>
        <v>0</v>
      </c>
      <c r="V12" s="13">
        <f t="shared" si="8"/>
        <v>0</v>
      </c>
      <c r="W12" s="13">
        <f t="shared" si="21"/>
        <v>1550</v>
      </c>
      <c r="X12" s="13">
        <f t="shared" si="22"/>
        <v>200</v>
      </c>
      <c r="Y12" s="13">
        <f t="shared" si="23"/>
        <v>0</v>
      </c>
      <c r="Z12" s="13">
        <f t="shared" si="24"/>
        <v>0</v>
      </c>
      <c r="AA12" s="13">
        <f t="shared" si="25"/>
        <v>0</v>
      </c>
      <c r="AB12" s="13">
        <f t="shared" si="9"/>
        <v>157.5</v>
      </c>
      <c r="AC12" s="13">
        <f t="shared" si="10"/>
        <v>18</v>
      </c>
      <c r="AD12" s="13">
        <f t="shared" si="11"/>
        <v>0</v>
      </c>
      <c r="AE12" s="13">
        <f t="shared" si="12"/>
        <v>0</v>
      </c>
      <c r="AF12" s="13">
        <f t="shared" si="13"/>
        <v>0</v>
      </c>
      <c r="AG12" s="13">
        <f t="shared" si="2"/>
        <v>1390.5</v>
      </c>
      <c r="AH12" s="13">
        <f t="shared" si="14"/>
        <v>573.58124999999995</v>
      </c>
      <c r="AI12" s="13">
        <f t="shared" si="15"/>
        <v>818.65687500000001</v>
      </c>
      <c r="AJ12" s="13">
        <f t="shared" si="16"/>
        <v>1146.6410624999999</v>
      </c>
      <c r="AK12" s="13">
        <f t="shared" si="26"/>
        <v>2773.4221874999998</v>
      </c>
      <c r="AL12" s="13">
        <f>(AK12-(AM12+AN12+AO12+AP12+AQ12))-BE12</f>
        <v>113.42218749999984</v>
      </c>
      <c r="AM12" s="19">
        <v>500</v>
      </c>
      <c r="AN12" s="19">
        <v>0</v>
      </c>
      <c r="AO12" s="19">
        <v>0</v>
      </c>
      <c r="AP12" s="19"/>
      <c r="AQ12" s="19"/>
      <c r="AR12" s="19">
        <v>15</v>
      </c>
      <c r="AS12" s="60">
        <f>(AS11-(H11+AB11+AX11))+5000</f>
        <v>4583</v>
      </c>
      <c r="AT12" s="15">
        <f t="shared" si="28"/>
        <v>1565</v>
      </c>
      <c r="AU12" s="15">
        <f t="shared" si="29"/>
        <v>595</v>
      </c>
      <c r="AV12" s="15">
        <f t="shared" si="30"/>
        <v>1000</v>
      </c>
      <c r="AW12" s="15">
        <f t="shared" si="31"/>
        <v>1000</v>
      </c>
      <c r="AX12" s="16">
        <f t="shared" si="18"/>
        <v>100</v>
      </c>
      <c r="AY12" s="17">
        <f t="shared" si="19"/>
        <v>0</v>
      </c>
      <c r="AZ12" s="17">
        <f t="shared" si="19"/>
        <v>0</v>
      </c>
      <c r="BA12" s="17">
        <f t="shared" si="19"/>
        <v>0</v>
      </c>
      <c r="BB12" s="17">
        <f t="shared" si="19"/>
        <v>0</v>
      </c>
      <c r="BC12" s="13">
        <f t="shared" si="20"/>
        <v>100</v>
      </c>
      <c r="BD12" s="16">
        <v>2500</v>
      </c>
      <c r="BE12" s="37">
        <f>+BD12-BE11</f>
        <v>2160</v>
      </c>
    </row>
    <row r="13" spans="1:59" x14ac:dyDescent="0.25">
      <c r="A13" s="18">
        <v>12</v>
      </c>
      <c r="B13" s="13">
        <f t="shared" si="3"/>
        <v>10500</v>
      </c>
      <c r="C13" s="13">
        <f>2000+2500</f>
        <v>4500</v>
      </c>
      <c r="D13" s="13">
        <f t="shared" si="32"/>
        <v>1500</v>
      </c>
      <c r="E13" s="13">
        <v>500</v>
      </c>
      <c r="F13" s="13">
        <v>0</v>
      </c>
      <c r="G13" s="13">
        <v>0</v>
      </c>
      <c r="H13" s="13">
        <f t="shared" si="0"/>
        <v>540</v>
      </c>
      <c r="I13" s="13">
        <f t="shared" si="4"/>
        <v>135</v>
      </c>
      <c r="J13" s="13">
        <f t="shared" si="4"/>
        <v>45</v>
      </c>
      <c r="K13" s="13">
        <f t="shared" si="1"/>
        <v>0</v>
      </c>
      <c r="L13" s="13">
        <f t="shared" si="1"/>
        <v>0</v>
      </c>
      <c r="M13" s="13">
        <f t="shared" si="5"/>
        <v>6000</v>
      </c>
      <c r="N13" s="13">
        <f t="shared" si="5"/>
        <v>2500</v>
      </c>
      <c r="O13" s="13">
        <f t="shared" si="6"/>
        <v>0</v>
      </c>
      <c r="P13" s="13">
        <f t="shared" si="6"/>
        <v>0</v>
      </c>
      <c r="Q13" s="13">
        <f t="shared" si="6"/>
        <v>0</v>
      </c>
      <c r="R13" s="13">
        <f t="shared" si="7"/>
        <v>540</v>
      </c>
      <c r="S13" s="13">
        <f t="shared" si="8"/>
        <v>225</v>
      </c>
      <c r="T13" s="13">
        <f t="shared" si="8"/>
        <v>0</v>
      </c>
      <c r="U13" s="13">
        <f t="shared" si="8"/>
        <v>0</v>
      </c>
      <c r="V13" s="13">
        <f t="shared" si="8"/>
        <v>0</v>
      </c>
      <c r="W13" s="13">
        <f t="shared" si="21"/>
        <v>1850</v>
      </c>
      <c r="X13" s="13">
        <f t="shared" si="22"/>
        <v>250</v>
      </c>
      <c r="Y13" s="13">
        <f t="shared" si="23"/>
        <v>0</v>
      </c>
      <c r="Z13" s="13">
        <f t="shared" si="24"/>
        <v>0</v>
      </c>
      <c r="AA13" s="13">
        <f t="shared" si="25"/>
        <v>0</v>
      </c>
      <c r="AB13" s="13">
        <f t="shared" si="9"/>
        <v>189</v>
      </c>
      <c r="AC13" s="13">
        <f t="shared" si="10"/>
        <v>22.5</v>
      </c>
      <c r="AD13" s="13">
        <f t="shared" si="11"/>
        <v>0</v>
      </c>
      <c r="AE13" s="13">
        <f t="shared" si="12"/>
        <v>0</v>
      </c>
      <c r="AF13" s="13">
        <f t="shared" si="13"/>
        <v>0</v>
      </c>
      <c r="AG13" s="13">
        <f t="shared" si="2"/>
        <v>1516.5</v>
      </c>
      <c r="AH13" s="13">
        <f t="shared" si="14"/>
        <v>625.55624999999998</v>
      </c>
      <c r="AI13" s="13">
        <f t="shared" si="15"/>
        <v>892.83937500000002</v>
      </c>
      <c r="AJ13" s="13">
        <f t="shared" si="16"/>
        <v>1250.5438125000001</v>
      </c>
      <c r="AK13" s="13">
        <f t="shared" si="26"/>
        <v>1363.9659999999999</v>
      </c>
      <c r="AL13" s="13">
        <f>AK13-(AM13+AN13+AO13+AP13+AQ13)</f>
        <v>363.96599999999989</v>
      </c>
      <c r="AM13" s="19">
        <v>500</v>
      </c>
      <c r="AN13" s="19">
        <v>500</v>
      </c>
      <c r="AO13" s="19">
        <v>0</v>
      </c>
      <c r="AP13" s="19"/>
      <c r="AQ13" s="19"/>
      <c r="AR13" s="19" t="s">
        <v>60</v>
      </c>
      <c r="AS13" s="14">
        <f>AS12-(H12+AB12+AX12)</f>
        <v>3785.5</v>
      </c>
      <c r="AT13" s="15">
        <f t="shared" si="28"/>
        <v>1307.5</v>
      </c>
      <c r="AU13" s="15">
        <f t="shared" si="29"/>
        <v>550</v>
      </c>
      <c r="AV13" s="15">
        <f t="shared" si="30"/>
        <v>1000</v>
      </c>
      <c r="AW13" s="15">
        <f t="shared" si="31"/>
        <v>1000</v>
      </c>
      <c r="AX13" s="16">
        <f t="shared" si="18"/>
        <v>100</v>
      </c>
      <c r="AY13" s="17">
        <f t="shared" si="19"/>
        <v>100</v>
      </c>
      <c r="AZ13" s="17">
        <f t="shared" si="19"/>
        <v>0</v>
      </c>
      <c r="BA13" s="17">
        <f t="shared" si="19"/>
        <v>0</v>
      </c>
      <c r="BB13" s="17">
        <f t="shared" si="19"/>
        <v>0</v>
      </c>
      <c r="BC13" s="13">
        <f t="shared" si="20"/>
        <v>200</v>
      </c>
      <c r="BD13" s="16"/>
      <c r="BE13" s="35"/>
    </row>
    <row r="14" spans="1:59" x14ac:dyDescent="0.25">
      <c r="A14" s="39">
        <v>13</v>
      </c>
      <c r="B14" s="12">
        <f t="shared" si="3"/>
        <v>11000</v>
      </c>
      <c r="C14" s="12">
        <f t="shared" ref="C14:C16" si="33">2000+2500</f>
        <v>4500</v>
      </c>
      <c r="D14" s="12">
        <f t="shared" si="32"/>
        <v>1500</v>
      </c>
      <c r="E14" s="12">
        <v>500</v>
      </c>
      <c r="F14" s="12">
        <v>0</v>
      </c>
      <c r="G14" s="12">
        <v>0</v>
      </c>
      <c r="H14" s="12">
        <f t="shared" si="0"/>
        <v>540</v>
      </c>
      <c r="I14" s="12">
        <f t="shared" si="4"/>
        <v>135</v>
      </c>
      <c r="J14" s="12">
        <f t="shared" si="4"/>
        <v>45</v>
      </c>
      <c r="K14" s="12">
        <f t="shared" si="1"/>
        <v>0</v>
      </c>
      <c r="L14" s="12">
        <f t="shared" si="1"/>
        <v>0</v>
      </c>
      <c r="M14" s="12">
        <f t="shared" si="5"/>
        <v>6500</v>
      </c>
      <c r="N14" s="12">
        <f t="shared" si="5"/>
        <v>3000</v>
      </c>
      <c r="O14" s="12">
        <f t="shared" si="6"/>
        <v>0</v>
      </c>
      <c r="P14" s="12">
        <f t="shared" si="6"/>
        <v>0</v>
      </c>
      <c r="Q14" s="12">
        <f t="shared" si="6"/>
        <v>0</v>
      </c>
      <c r="R14" s="12">
        <f t="shared" si="7"/>
        <v>585</v>
      </c>
      <c r="S14" s="12">
        <f t="shared" si="8"/>
        <v>270</v>
      </c>
      <c r="T14" s="12">
        <f t="shared" si="8"/>
        <v>0</v>
      </c>
      <c r="U14" s="12">
        <f t="shared" si="8"/>
        <v>0</v>
      </c>
      <c r="V14" s="12">
        <f t="shared" si="8"/>
        <v>0</v>
      </c>
      <c r="W14" s="12">
        <f t="shared" si="21"/>
        <v>2150</v>
      </c>
      <c r="X14" s="12">
        <f t="shared" si="22"/>
        <v>300</v>
      </c>
      <c r="Y14" s="12">
        <f t="shared" si="23"/>
        <v>0</v>
      </c>
      <c r="Z14" s="12">
        <f t="shared" si="24"/>
        <v>0</v>
      </c>
      <c r="AA14" s="12">
        <f t="shared" si="25"/>
        <v>0</v>
      </c>
      <c r="AB14" s="12">
        <f t="shared" si="9"/>
        <v>220.5</v>
      </c>
      <c r="AC14" s="12">
        <f t="shared" si="10"/>
        <v>27</v>
      </c>
      <c r="AD14" s="12">
        <f t="shared" si="11"/>
        <v>0</v>
      </c>
      <c r="AE14" s="12">
        <f t="shared" si="12"/>
        <v>0</v>
      </c>
      <c r="AF14" s="12">
        <f t="shared" si="13"/>
        <v>0</v>
      </c>
      <c r="AG14" s="12">
        <f t="shared" si="2"/>
        <v>1642.5</v>
      </c>
      <c r="AH14" s="12">
        <f t="shared" si="14"/>
        <v>677.53125</v>
      </c>
      <c r="AI14" s="12">
        <f t="shared" si="15"/>
        <v>967.02187500000002</v>
      </c>
      <c r="AJ14" s="12">
        <f t="shared" si="16"/>
        <v>1354.4465625</v>
      </c>
      <c r="AK14" s="12">
        <f t="shared" si="26"/>
        <v>1718.4125624999999</v>
      </c>
      <c r="AL14" s="12">
        <f t="shared" si="27"/>
        <v>718.41256249999992</v>
      </c>
      <c r="AM14" s="40">
        <v>500</v>
      </c>
      <c r="AN14" s="40">
        <v>500</v>
      </c>
      <c r="AO14" s="40">
        <v>0</v>
      </c>
      <c r="AP14" s="40"/>
      <c r="AQ14" s="40"/>
      <c r="AR14" s="40" t="s">
        <v>61</v>
      </c>
      <c r="AS14" s="41">
        <f>AS13-(H13+AB13+AX13)</f>
        <v>2956.5</v>
      </c>
      <c r="AT14" s="42">
        <f t="shared" si="28"/>
        <v>1045.5</v>
      </c>
      <c r="AU14" s="42">
        <f t="shared" si="29"/>
        <v>505</v>
      </c>
      <c r="AV14" s="42">
        <f t="shared" si="30"/>
        <v>1000</v>
      </c>
      <c r="AW14" s="42">
        <f t="shared" si="31"/>
        <v>1000</v>
      </c>
      <c r="AX14" s="43">
        <f t="shared" si="18"/>
        <v>100</v>
      </c>
      <c r="AY14" s="44">
        <f t="shared" si="19"/>
        <v>100</v>
      </c>
      <c r="AZ14" s="44">
        <f t="shared" si="19"/>
        <v>0</v>
      </c>
      <c r="BA14" s="44">
        <f t="shared" si="19"/>
        <v>0</v>
      </c>
      <c r="BB14" s="44">
        <f t="shared" si="19"/>
        <v>0</v>
      </c>
      <c r="BC14" s="12">
        <f t="shared" si="20"/>
        <v>200</v>
      </c>
      <c r="BD14" s="43"/>
      <c r="BE14" s="45"/>
      <c r="BF14" s="46"/>
      <c r="BG14" s="46"/>
    </row>
    <row r="15" spans="1:59" x14ac:dyDescent="0.25">
      <c r="A15" s="47">
        <v>14</v>
      </c>
      <c r="B15" s="12">
        <f t="shared" si="3"/>
        <v>11500</v>
      </c>
      <c r="C15" s="12">
        <f t="shared" si="33"/>
        <v>4500</v>
      </c>
      <c r="D15" s="12">
        <f t="shared" si="32"/>
        <v>1500</v>
      </c>
      <c r="E15" s="12">
        <v>500</v>
      </c>
      <c r="F15" s="12">
        <v>0</v>
      </c>
      <c r="G15" s="12">
        <v>0</v>
      </c>
      <c r="H15" s="12">
        <f t="shared" si="0"/>
        <v>540</v>
      </c>
      <c r="I15" s="12">
        <f t="shared" si="4"/>
        <v>135</v>
      </c>
      <c r="J15" s="12">
        <f t="shared" si="4"/>
        <v>45</v>
      </c>
      <c r="K15" s="12">
        <f t="shared" si="1"/>
        <v>0</v>
      </c>
      <c r="L15" s="12">
        <f t="shared" si="1"/>
        <v>0</v>
      </c>
      <c r="M15" s="12">
        <f t="shared" si="5"/>
        <v>7000</v>
      </c>
      <c r="N15" s="12">
        <f t="shared" si="5"/>
        <v>3500</v>
      </c>
      <c r="O15" s="12">
        <f t="shared" si="6"/>
        <v>0</v>
      </c>
      <c r="P15" s="12">
        <f t="shared" si="6"/>
        <v>0</v>
      </c>
      <c r="Q15" s="12">
        <f t="shared" si="6"/>
        <v>0</v>
      </c>
      <c r="R15" s="12">
        <f t="shared" si="7"/>
        <v>630</v>
      </c>
      <c r="S15" s="12">
        <f t="shared" si="8"/>
        <v>315</v>
      </c>
      <c r="T15" s="12">
        <f t="shared" si="8"/>
        <v>0</v>
      </c>
      <c r="U15" s="12">
        <f t="shared" si="8"/>
        <v>0</v>
      </c>
      <c r="V15" s="12">
        <f t="shared" si="8"/>
        <v>0</v>
      </c>
      <c r="W15" s="12">
        <f t="shared" si="21"/>
        <v>2450</v>
      </c>
      <c r="X15" s="12">
        <f t="shared" si="22"/>
        <v>350</v>
      </c>
      <c r="Y15" s="12">
        <f t="shared" si="23"/>
        <v>0</v>
      </c>
      <c r="Z15" s="12">
        <f t="shared" si="24"/>
        <v>0</v>
      </c>
      <c r="AA15" s="12">
        <f t="shared" si="25"/>
        <v>0</v>
      </c>
      <c r="AB15" s="12">
        <f t="shared" si="9"/>
        <v>252</v>
      </c>
      <c r="AC15" s="12">
        <f t="shared" si="10"/>
        <v>31.5</v>
      </c>
      <c r="AD15" s="12">
        <f t="shared" si="11"/>
        <v>0</v>
      </c>
      <c r="AE15" s="12">
        <f t="shared" si="12"/>
        <v>0</v>
      </c>
      <c r="AF15" s="12">
        <f t="shared" si="13"/>
        <v>0</v>
      </c>
      <c r="AG15" s="12">
        <f t="shared" si="2"/>
        <v>1768.5</v>
      </c>
      <c r="AH15" s="12">
        <f t="shared" si="14"/>
        <v>729.50624999999991</v>
      </c>
      <c r="AI15" s="12">
        <f t="shared" si="15"/>
        <v>1041.204375</v>
      </c>
      <c r="AJ15" s="12">
        <f t="shared" si="16"/>
        <v>1458.3493125</v>
      </c>
      <c r="AK15" s="12">
        <f t="shared" si="26"/>
        <v>2176.7618750000001</v>
      </c>
      <c r="AL15" s="12">
        <f t="shared" si="27"/>
        <v>1176.7618750000001</v>
      </c>
      <c r="AM15" s="40">
        <v>500</v>
      </c>
      <c r="AN15" s="40">
        <v>500</v>
      </c>
      <c r="AO15" s="40">
        <v>0</v>
      </c>
      <c r="AP15" s="40"/>
      <c r="AQ15" s="40"/>
      <c r="AR15" s="40" t="s">
        <v>62</v>
      </c>
      <c r="AS15" s="41">
        <f>AS14-(H14+AB14+AX14)</f>
        <v>2096</v>
      </c>
      <c r="AT15" s="42">
        <f t="shared" si="28"/>
        <v>779</v>
      </c>
      <c r="AU15" s="42">
        <f t="shared" si="29"/>
        <v>460</v>
      </c>
      <c r="AV15" s="42">
        <f t="shared" si="30"/>
        <v>1000</v>
      </c>
      <c r="AW15" s="42">
        <f t="shared" si="31"/>
        <v>1000</v>
      </c>
      <c r="AX15" s="43">
        <f t="shared" si="18"/>
        <v>100</v>
      </c>
      <c r="AY15" s="44">
        <f t="shared" si="19"/>
        <v>100</v>
      </c>
      <c r="AZ15" s="44">
        <f t="shared" si="19"/>
        <v>0</v>
      </c>
      <c r="BA15" s="44">
        <f t="shared" si="19"/>
        <v>0</v>
      </c>
      <c r="BB15" s="44">
        <f t="shared" si="19"/>
        <v>0</v>
      </c>
      <c r="BC15" s="12">
        <f t="shared" si="20"/>
        <v>200</v>
      </c>
      <c r="BD15" s="43"/>
      <c r="BE15" s="45"/>
      <c r="BF15" s="46"/>
      <c r="BG15" s="46"/>
    </row>
    <row r="16" spans="1:59" x14ac:dyDescent="0.25">
      <c r="A16" s="47">
        <v>15</v>
      </c>
      <c r="B16" s="12">
        <f t="shared" si="3"/>
        <v>12000</v>
      </c>
      <c r="C16" s="12">
        <f t="shared" si="33"/>
        <v>4500</v>
      </c>
      <c r="D16" s="12">
        <f t="shared" si="32"/>
        <v>1500</v>
      </c>
      <c r="E16" s="12">
        <v>500</v>
      </c>
      <c r="F16" s="12">
        <v>0</v>
      </c>
      <c r="G16" s="12">
        <v>0</v>
      </c>
      <c r="H16" s="12">
        <f t="shared" si="0"/>
        <v>540</v>
      </c>
      <c r="I16" s="12">
        <f t="shared" si="4"/>
        <v>135</v>
      </c>
      <c r="J16" s="12">
        <f t="shared" si="4"/>
        <v>45</v>
      </c>
      <c r="K16" s="12">
        <f t="shared" si="1"/>
        <v>0</v>
      </c>
      <c r="L16" s="12">
        <f t="shared" si="1"/>
        <v>0</v>
      </c>
      <c r="M16" s="12">
        <f t="shared" si="5"/>
        <v>7500</v>
      </c>
      <c r="N16" s="12">
        <f t="shared" si="5"/>
        <v>4000</v>
      </c>
      <c r="O16" s="12">
        <f t="shared" si="6"/>
        <v>0</v>
      </c>
      <c r="P16" s="12">
        <f t="shared" si="6"/>
        <v>0</v>
      </c>
      <c r="Q16" s="12">
        <f t="shared" si="6"/>
        <v>0</v>
      </c>
      <c r="R16" s="12">
        <f t="shared" si="7"/>
        <v>675</v>
      </c>
      <c r="S16" s="12">
        <f t="shared" si="8"/>
        <v>360</v>
      </c>
      <c r="T16" s="12">
        <f t="shared" si="8"/>
        <v>0</v>
      </c>
      <c r="U16" s="12">
        <f t="shared" si="8"/>
        <v>0</v>
      </c>
      <c r="V16" s="12">
        <f t="shared" si="8"/>
        <v>0</v>
      </c>
      <c r="W16" s="12">
        <f t="shared" si="21"/>
        <v>2750</v>
      </c>
      <c r="X16" s="12">
        <f t="shared" si="22"/>
        <v>400</v>
      </c>
      <c r="Y16" s="12">
        <f t="shared" si="23"/>
        <v>0</v>
      </c>
      <c r="Z16" s="12">
        <f t="shared" si="24"/>
        <v>0</v>
      </c>
      <c r="AA16" s="12">
        <f t="shared" si="25"/>
        <v>0</v>
      </c>
      <c r="AB16" s="12">
        <f t="shared" si="9"/>
        <v>283.5</v>
      </c>
      <c r="AC16" s="12">
        <f t="shared" si="10"/>
        <v>36</v>
      </c>
      <c r="AD16" s="12">
        <f t="shared" si="11"/>
        <v>0</v>
      </c>
      <c r="AE16" s="12">
        <f t="shared" si="12"/>
        <v>0</v>
      </c>
      <c r="AF16" s="12">
        <f t="shared" si="13"/>
        <v>0</v>
      </c>
      <c r="AG16" s="12">
        <f t="shared" si="2"/>
        <v>1894.5</v>
      </c>
      <c r="AH16" s="12">
        <f t="shared" si="14"/>
        <v>781.48124999999993</v>
      </c>
      <c r="AI16" s="12">
        <f t="shared" si="15"/>
        <v>1115.3868750000001</v>
      </c>
      <c r="AJ16" s="12">
        <f t="shared" si="16"/>
        <v>1562.2520625</v>
      </c>
      <c r="AK16" s="12">
        <f t="shared" si="26"/>
        <v>2739.0139374999999</v>
      </c>
      <c r="AL16" s="12">
        <f t="shared" si="27"/>
        <v>1739.0139374999999</v>
      </c>
      <c r="AM16" s="40">
        <v>500</v>
      </c>
      <c r="AN16" s="40">
        <v>500</v>
      </c>
      <c r="AO16" s="40">
        <v>0</v>
      </c>
      <c r="AP16" s="40">
        <v>0</v>
      </c>
      <c r="AQ16" s="40"/>
      <c r="AR16" s="40" t="s">
        <v>63</v>
      </c>
      <c r="AS16" s="41">
        <f>AS15-(H15+AB15+AX15)</f>
        <v>1204</v>
      </c>
      <c r="AT16" s="42">
        <f t="shared" si="28"/>
        <v>508</v>
      </c>
      <c r="AU16" s="42">
        <f t="shared" si="29"/>
        <v>415</v>
      </c>
      <c r="AV16" s="42">
        <f t="shared" si="30"/>
        <v>1000</v>
      </c>
      <c r="AW16" s="42">
        <f t="shared" si="31"/>
        <v>1000</v>
      </c>
      <c r="AX16" s="43">
        <f t="shared" si="18"/>
        <v>100</v>
      </c>
      <c r="AY16" s="44">
        <f t="shared" si="19"/>
        <v>100</v>
      </c>
      <c r="AZ16" s="44">
        <f t="shared" si="19"/>
        <v>0</v>
      </c>
      <c r="BA16" s="44">
        <f t="shared" si="19"/>
        <v>0</v>
      </c>
      <c r="BB16" s="44">
        <f t="shared" si="19"/>
        <v>0</v>
      </c>
      <c r="BC16" s="12">
        <f t="shared" si="20"/>
        <v>200</v>
      </c>
      <c r="BD16" s="43">
        <f>+BC12+BC13+BC14+BC15+BC16</f>
        <v>900</v>
      </c>
      <c r="BE16" s="45">
        <f>+BD16*0.85</f>
        <v>765</v>
      </c>
      <c r="BF16" s="46"/>
      <c r="BG16" s="46"/>
    </row>
    <row r="17" spans="1:59" x14ac:dyDescent="0.25">
      <c r="A17" s="47">
        <v>16</v>
      </c>
      <c r="B17" s="12">
        <f t="shared" si="3"/>
        <v>15500</v>
      </c>
      <c r="C17" s="59">
        <f>2000+2500+3000</f>
        <v>7500</v>
      </c>
      <c r="D17" s="12">
        <f t="shared" si="32"/>
        <v>1500</v>
      </c>
      <c r="E17" s="12">
        <v>500</v>
      </c>
      <c r="F17" s="12">
        <v>0</v>
      </c>
      <c r="G17" s="12">
        <v>0</v>
      </c>
      <c r="H17" s="12">
        <f t="shared" si="0"/>
        <v>900</v>
      </c>
      <c r="I17" s="12">
        <f t="shared" si="4"/>
        <v>135</v>
      </c>
      <c r="J17" s="12">
        <f t="shared" si="4"/>
        <v>45</v>
      </c>
      <c r="K17" s="12">
        <f t="shared" si="1"/>
        <v>0</v>
      </c>
      <c r="L17" s="12">
        <f t="shared" si="1"/>
        <v>0</v>
      </c>
      <c r="M17" s="12">
        <f t="shared" si="5"/>
        <v>8000</v>
      </c>
      <c r="N17" s="12">
        <f t="shared" si="5"/>
        <v>4500</v>
      </c>
      <c r="O17" s="12">
        <f t="shared" si="6"/>
        <v>0</v>
      </c>
      <c r="P17" s="12">
        <f t="shared" si="6"/>
        <v>0</v>
      </c>
      <c r="Q17" s="12">
        <f t="shared" si="6"/>
        <v>0</v>
      </c>
      <c r="R17" s="12">
        <f t="shared" si="7"/>
        <v>720</v>
      </c>
      <c r="S17" s="12">
        <f t="shared" si="8"/>
        <v>405</v>
      </c>
      <c r="T17" s="12">
        <f t="shared" si="8"/>
        <v>0</v>
      </c>
      <c r="U17" s="12">
        <f t="shared" si="8"/>
        <v>0</v>
      </c>
      <c r="V17" s="12">
        <f t="shared" si="8"/>
        <v>0</v>
      </c>
      <c r="W17" s="12">
        <f t="shared" si="21"/>
        <v>3050</v>
      </c>
      <c r="X17" s="12">
        <f t="shared" si="22"/>
        <v>450</v>
      </c>
      <c r="Y17" s="12">
        <f t="shared" si="23"/>
        <v>0</v>
      </c>
      <c r="Z17" s="12">
        <f t="shared" si="24"/>
        <v>0</v>
      </c>
      <c r="AA17" s="12">
        <f t="shared" si="25"/>
        <v>0</v>
      </c>
      <c r="AB17" s="12">
        <f t="shared" si="9"/>
        <v>315</v>
      </c>
      <c r="AC17" s="12">
        <f t="shared" si="10"/>
        <v>40.5</v>
      </c>
      <c r="AD17" s="12">
        <f t="shared" si="11"/>
        <v>0</v>
      </c>
      <c r="AE17" s="12">
        <f t="shared" si="12"/>
        <v>0</v>
      </c>
      <c r="AF17" s="12">
        <f t="shared" si="13"/>
        <v>0</v>
      </c>
      <c r="AG17" s="12">
        <f t="shared" si="2"/>
        <v>2380.5</v>
      </c>
      <c r="AH17" s="12">
        <f t="shared" si="14"/>
        <v>981.95624999999995</v>
      </c>
      <c r="AI17" s="12">
        <f t="shared" si="15"/>
        <v>1401.5193750000001</v>
      </c>
      <c r="AJ17" s="12">
        <f t="shared" si="16"/>
        <v>1963.0198124999999</v>
      </c>
      <c r="AK17" s="12">
        <f t="shared" si="26"/>
        <v>3702.0337499999996</v>
      </c>
      <c r="AL17" s="12">
        <f>(AK17-(AM17+AN17+AO17+AP17+AQ17))-BE17</f>
        <v>467.0337499999996</v>
      </c>
      <c r="AM17" s="40">
        <v>500</v>
      </c>
      <c r="AN17" s="40">
        <v>500</v>
      </c>
      <c r="AO17" s="40">
        <v>0</v>
      </c>
      <c r="AP17" s="40">
        <v>0</v>
      </c>
      <c r="AQ17" s="40"/>
      <c r="AR17" s="40" t="s">
        <v>64</v>
      </c>
      <c r="AS17" s="60">
        <f>(AS16-(H16+AB16+AX16))+6000</f>
        <v>6280.5</v>
      </c>
      <c r="AT17" s="42">
        <f t="shared" si="28"/>
        <v>232.5</v>
      </c>
      <c r="AU17" s="42">
        <f t="shared" si="29"/>
        <v>370</v>
      </c>
      <c r="AV17" s="42">
        <f t="shared" si="30"/>
        <v>1000</v>
      </c>
      <c r="AW17" s="42">
        <f t="shared" si="31"/>
        <v>1000</v>
      </c>
      <c r="AX17" s="43">
        <f t="shared" si="18"/>
        <v>100</v>
      </c>
      <c r="AY17" s="44">
        <f t="shared" si="19"/>
        <v>100</v>
      </c>
      <c r="AZ17" s="44">
        <f t="shared" si="19"/>
        <v>0</v>
      </c>
      <c r="BA17" s="44">
        <f t="shared" si="19"/>
        <v>0</v>
      </c>
      <c r="BB17" s="44">
        <f t="shared" si="19"/>
        <v>0</v>
      </c>
      <c r="BC17" s="12">
        <f t="shared" si="20"/>
        <v>200</v>
      </c>
      <c r="BD17" s="43">
        <v>3000</v>
      </c>
      <c r="BE17" s="48">
        <f>+BD17-BE16</f>
        <v>2235</v>
      </c>
      <c r="BF17" s="49">
        <f>+BC17</f>
        <v>200</v>
      </c>
      <c r="BG17" s="46">
        <f>+BF17*0.85</f>
        <v>170</v>
      </c>
    </row>
    <row r="18" spans="1:59" x14ac:dyDescent="0.25">
      <c r="A18" s="39">
        <v>17</v>
      </c>
      <c r="B18" s="12">
        <f t="shared" si="3"/>
        <v>16000</v>
      </c>
      <c r="C18" s="12">
        <f t="shared" ref="C18:C21" si="34">2000+2500+3000</f>
        <v>7500</v>
      </c>
      <c r="D18" s="59">
        <f>500+1000+1500</f>
        <v>3000</v>
      </c>
      <c r="E18" s="12">
        <v>500</v>
      </c>
      <c r="F18" s="12">
        <v>0</v>
      </c>
      <c r="G18" s="12">
        <v>0</v>
      </c>
      <c r="H18" s="12">
        <f t="shared" si="0"/>
        <v>900</v>
      </c>
      <c r="I18" s="12">
        <f t="shared" si="4"/>
        <v>270</v>
      </c>
      <c r="J18" s="12">
        <f t="shared" si="4"/>
        <v>45</v>
      </c>
      <c r="K18" s="12">
        <f t="shared" si="4"/>
        <v>0</v>
      </c>
      <c r="L18" s="12">
        <f t="shared" si="4"/>
        <v>0</v>
      </c>
      <c r="M18" s="12">
        <f t="shared" si="5"/>
        <v>8500</v>
      </c>
      <c r="N18" s="12">
        <f t="shared" si="5"/>
        <v>5000</v>
      </c>
      <c r="O18" s="12">
        <f t="shared" si="6"/>
        <v>0</v>
      </c>
      <c r="P18" s="12">
        <f t="shared" si="6"/>
        <v>0</v>
      </c>
      <c r="Q18" s="12">
        <f t="shared" si="6"/>
        <v>0</v>
      </c>
      <c r="R18" s="12">
        <f t="shared" si="7"/>
        <v>765</v>
      </c>
      <c r="S18" s="12">
        <f t="shared" si="8"/>
        <v>450</v>
      </c>
      <c r="T18" s="12">
        <f t="shared" si="8"/>
        <v>0</v>
      </c>
      <c r="U18" s="12">
        <f t="shared" si="8"/>
        <v>0</v>
      </c>
      <c r="V18" s="12">
        <f t="shared" si="8"/>
        <v>0</v>
      </c>
      <c r="W18" s="12">
        <f t="shared" si="21"/>
        <v>3350</v>
      </c>
      <c r="X18" s="12">
        <f t="shared" si="22"/>
        <v>500</v>
      </c>
      <c r="Y18" s="12">
        <f t="shared" si="23"/>
        <v>0</v>
      </c>
      <c r="Z18" s="12">
        <f t="shared" si="24"/>
        <v>0</v>
      </c>
      <c r="AA18" s="12">
        <f t="shared" si="25"/>
        <v>0</v>
      </c>
      <c r="AB18" s="12">
        <f t="shared" si="9"/>
        <v>346.5</v>
      </c>
      <c r="AC18" s="12">
        <f t="shared" si="10"/>
        <v>45</v>
      </c>
      <c r="AD18" s="12">
        <f t="shared" si="11"/>
        <v>0</v>
      </c>
      <c r="AE18" s="12">
        <f t="shared" si="12"/>
        <v>0</v>
      </c>
      <c r="AF18" s="12">
        <f t="shared" si="13"/>
        <v>0</v>
      </c>
      <c r="AG18" s="12">
        <f t="shared" si="2"/>
        <v>2506.5</v>
      </c>
      <c r="AH18" s="12">
        <f t="shared" si="14"/>
        <v>1033.9312499999999</v>
      </c>
      <c r="AI18" s="12">
        <f t="shared" si="15"/>
        <v>1475.701875</v>
      </c>
      <c r="AJ18" s="12">
        <f t="shared" si="16"/>
        <v>2066.9225624999999</v>
      </c>
      <c r="AK18" s="12">
        <f t="shared" si="26"/>
        <v>2533.9563124999995</v>
      </c>
      <c r="AL18" s="12">
        <f>(AK18-(AM18+AN18+AO18+AP18+AQ18))-BE18</f>
        <v>203.95631249999951</v>
      </c>
      <c r="AM18" s="40">
        <v>500</v>
      </c>
      <c r="AN18" s="40">
        <v>500</v>
      </c>
      <c r="AO18" s="40">
        <v>0</v>
      </c>
      <c r="AP18" s="40">
        <v>0</v>
      </c>
      <c r="AQ18" s="40"/>
      <c r="AR18" s="40" t="s">
        <v>65</v>
      </c>
      <c r="AS18" s="41">
        <f>AS17-(H17+AB17+AX17)</f>
        <v>4965.5</v>
      </c>
      <c r="AT18" s="61">
        <f>(AT17-(+I18+AC18+AY18))+3000</f>
        <v>2817.5</v>
      </c>
      <c r="AU18" s="42">
        <f t="shared" si="29"/>
        <v>325</v>
      </c>
      <c r="AV18" s="42">
        <f t="shared" si="30"/>
        <v>1000</v>
      </c>
      <c r="AW18" s="42">
        <f t="shared" si="31"/>
        <v>1000</v>
      </c>
      <c r="AX18" s="43">
        <f t="shared" si="18"/>
        <v>100</v>
      </c>
      <c r="AY18" s="44">
        <f t="shared" si="19"/>
        <v>100</v>
      </c>
      <c r="AZ18" s="44">
        <f t="shared" si="19"/>
        <v>0</v>
      </c>
      <c r="BA18" s="44">
        <f t="shared" si="19"/>
        <v>0</v>
      </c>
      <c r="BB18" s="44">
        <f t="shared" si="19"/>
        <v>0</v>
      </c>
      <c r="BC18" s="12">
        <f t="shared" si="20"/>
        <v>200</v>
      </c>
      <c r="BD18" s="43">
        <v>1500</v>
      </c>
      <c r="BE18" s="48">
        <f>+BD18-BG17</f>
        <v>1330</v>
      </c>
      <c r="BF18" s="46"/>
      <c r="BG18" s="46"/>
    </row>
    <row r="19" spans="1:59" x14ac:dyDescent="0.25">
      <c r="A19" s="39">
        <v>18</v>
      </c>
      <c r="B19" s="12">
        <f t="shared" si="3"/>
        <v>16500</v>
      </c>
      <c r="C19" s="12">
        <f t="shared" si="34"/>
        <v>7500</v>
      </c>
      <c r="D19" s="12">
        <f t="shared" ref="D19:D23" si="35">500+1000+1500</f>
        <v>3000</v>
      </c>
      <c r="E19" s="12">
        <v>500</v>
      </c>
      <c r="F19" s="12">
        <v>0</v>
      </c>
      <c r="G19" s="12">
        <v>0</v>
      </c>
      <c r="H19" s="12">
        <f t="shared" si="0"/>
        <v>900</v>
      </c>
      <c r="I19" s="12">
        <f t="shared" si="4"/>
        <v>270</v>
      </c>
      <c r="J19" s="12">
        <f t="shared" si="4"/>
        <v>45</v>
      </c>
      <c r="K19" s="12">
        <f t="shared" si="4"/>
        <v>0</v>
      </c>
      <c r="L19" s="12">
        <f t="shared" si="4"/>
        <v>0</v>
      </c>
      <c r="M19" s="12">
        <f t="shared" si="5"/>
        <v>9000</v>
      </c>
      <c r="N19" s="12">
        <f t="shared" si="5"/>
        <v>5500</v>
      </c>
      <c r="O19" s="12">
        <f t="shared" si="6"/>
        <v>0</v>
      </c>
      <c r="P19" s="12">
        <f t="shared" si="6"/>
        <v>0</v>
      </c>
      <c r="Q19" s="12">
        <f t="shared" si="6"/>
        <v>0</v>
      </c>
      <c r="R19" s="12">
        <f t="shared" si="7"/>
        <v>810</v>
      </c>
      <c r="S19" s="12">
        <f t="shared" si="8"/>
        <v>495</v>
      </c>
      <c r="T19" s="12">
        <f t="shared" si="8"/>
        <v>0</v>
      </c>
      <c r="U19" s="12">
        <f t="shared" si="8"/>
        <v>0</v>
      </c>
      <c r="V19" s="12">
        <f t="shared" si="8"/>
        <v>0</v>
      </c>
      <c r="W19" s="12">
        <f t="shared" si="21"/>
        <v>3650</v>
      </c>
      <c r="X19" s="12">
        <f t="shared" si="22"/>
        <v>550</v>
      </c>
      <c r="Y19" s="12">
        <f t="shared" si="23"/>
        <v>0</v>
      </c>
      <c r="Z19" s="12">
        <f t="shared" si="24"/>
        <v>0</v>
      </c>
      <c r="AA19" s="12">
        <f t="shared" si="25"/>
        <v>0</v>
      </c>
      <c r="AB19" s="12">
        <f t="shared" si="9"/>
        <v>378</v>
      </c>
      <c r="AC19" s="12">
        <f t="shared" si="10"/>
        <v>49.5</v>
      </c>
      <c r="AD19" s="12">
        <f t="shared" si="11"/>
        <v>0</v>
      </c>
      <c r="AE19" s="12">
        <f t="shared" si="12"/>
        <v>0</v>
      </c>
      <c r="AF19" s="12">
        <f t="shared" si="13"/>
        <v>0</v>
      </c>
      <c r="AG19" s="12">
        <f t="shared" si="2"/>
        <v>2632.5</v>
      </c>
      <c r="AH19" s="12">
        <f t="shared" si="14"/>
        <v>1085.90625</v>
      </c>
      <c r="AI19" s="12">
        <f t="shared" si="15"/>
        <v>1549.8843750000001</v>
      </c>
      <c r="AJ19" s="12">
        <f t="shared" si="16"/>
        <v>2170.8253125000001</v>
      </c>
      <c r="AK19" s="12">
        <f t="shared" si="26"/>
        <v>2374.7816249999996</v>
      </c>
      <c r="AL19" s="12">
        <f>AK19-(AM19+AN19+AO19+AP19+AQ19)</f>
        <v>1374.7816249999996</v>
      </c>
      <c r="AM19" s="40">
        <v>500</v>
      </c>
      <c r="AN19" s="40">
        <v>500</v>
      </c>
      <c r="AO19" s="40">
        <v>0</v>
      </c>
      <c r="AP19" s="40">
        <v>0</v>
      </c>
      <c r="AQ19" s="40"/>
      <c r="AR19" s="40" t="s">
        <v>66</v>
      </c>
      <c r="AS19" s="41">
        <f>AS18-(H18+AB18+AX18)</f>
        <v>3619</v>
      </c>
      <c r="AT19" s="42">
        <f t="shared" si="28"/>
        <v>2398</v>
      </c>
      <c r="AU19" s="42">
        <f t="shared" si="29"/>
        <v>280</v>
      </c>
      <c r="AV19" s="42">
        <f t="shared" si="30"/>
        <v>1000</v>
      </c>
      <c r="AW19" s="42">
        <f t="shared" si="31"/>
        <v>1000</v>
      </c>
      <c r="AX19" s="43">
        <f t="shared" si="18"/>
        <v>100</v>
      </c>
      <c r="AY19" s="44">
        <f t="shared" si="19"/>
        <v>100</v>
      </c>
      <c r="AZ19" s="44">
        <f t="shared" si="19"/>
        <v>0</v>
      </c>
      <c r="BA19" s="44">
        <f t="shared" si="19"/>
        <v>0</v>
      </c>
      <c r="BB19" s="44">
        <f t="shared" si="19"/>
        <v>0</v>
      </c>
      <c r="BC19" s="12">
        <f t="shared" si="20"/>
        <v>200</v>
      </c>
      <c r="BD19" s="43"/>
      <c r="BE19" s="45"/>
      <c r="BF19" s="46"/>
      <c r="BG19" s="46"/>
    </row>
    <row r="20" spans="1:59" x14ac:dyDescent="0.25">
      <c r="A20" s="39">
        <v>19</v>
      </c>
      <c r="B20" s="12">
        <f t="shared" si="3"/>
        <v>17000</v>
      </c>
      <c r="C20" s="12">
        <f t="shared" si="34"/>
        <v>7500</v>
      </c>
      <c r="D20" s="12">
        <f t="shared" si="35"/>
        <v>3000</v>
      </c>
      <c r="E20" s="12">
        <v>500</v>
      </c>
      <c r="F20" s="12">
        <v>500</v>
      </c>
      <c r="G20" s="12">
        <v>0</v>
      </c>
      <c r="H20" s="12">
        <f t="shared" si="0"/>
        <v>900</v>
      </c>
      <c r="I20" s="12">
        <f t="shared" si="4"/>
        <v>270</v>
      </c>
      <c r="J20" s="12">
        <f t="shared" si="4"/>
        <v>45</v>
      </c>
      <c r="K20" s="12">
        <f t="shared" si="4"/>
        <v>45</v>
      </c>
      <c r="L20" s="12">
        <f t="shared" si="4"/>
        <v>0</v>
      </c>
      <c r="M20" s="12">
        <f t="shared" si="5"/>
        <v>9500</v>
      </c>
      <c r="N20" s="12">
        <f t="shared" si="5"/>
        <v>6000</v>
      </c>
      <c r="O20" s="12">
        <f t="shared" si="6"/>
        <v>0</v>
      </c>
      <c r="P20" s="12">
        <f t="shared" si="6"/>
        <v>0</v>
      </c>
      <c r="Q20" s="12">
        <f t="shared" si="6"/>
        <v>0</v>
      </c>
      <c r="R20" s="12">
        <f t="shared" si="7"/>
        <v>855</v>
      </c>
      <c r="S20" s="12">
        <f t="shared" si="8"/>
        <v>540</v>
      </c>
      <c r="T20" s="12">
        <f t="shared" si="8"/>
        <v>0</v>
      </c>
      <c r="U20" s="12">
        <f t="shared" si="8"/>
        <v>0</v>
      </c>
      <c r="V20" s="12">
        <f t="shared" si="8"/>
        <v>0</v>
      </c>
      <c r="W20" s="12">
        <f t="shared" si="21"/>
        <v>3950</v>
      </c>
      <c r="X20" s="12">
        <f t="shared" si="22"/>
        <v>600</v>
      </c>
      <c r="Y20" s="12">
        <f t="shared" si="23"/>
        <v>0</v>
      </c>
      <c r="Z20" s="12">
        <f t="shared" si="24"/>
        <v>0</v>
      </c>
      <c r="AA20" s="12">
        <f t="shared" si="25"/>
        <v>0</v>
      </c>
      <c r="AB20" s="12">
        <f t="shared" si="9"/>
        <v>409.5</v>
      </c>
      <c r="AC20" s="12">
        <f t="shared" si="10"/>
        <v>54</v>
      </c>
      <c r="AD20" s="12">
        <f t="shared" si="11"/>
        <v>0</v>
      </c>
      <c r="AE20" s="12">
        <f t="shared" si="12"/>
        <v>0</v>
      </c>
      <c r="AF20" s="12">
        <f t="shared" si="13"/>
        <v>0</v>
      </c>
      <c r="AG20" s="12">
        <f t="shared" si="2"/>
        <v>2758.5</v>
      </c>
      <c r="AH20" s="12">
        <f t="shared" si="14"/>
        <v>1137.8812499999999</v>
      </c>
      <c r="AI20" s="12">
        <f t="shared" si="15"/>
        <v>1624.066875</v>
      </c>
      <c r="AJ20" s="12">
        <f t="shared" si="16"/>
        <v>2274.7280624999999</v>
      </c>
      <c r="AK20" s="12">
        <f t="shared" si="26"/>
        <v>3649.5096874999995</v>
      </c>
      <c r="AL20" s="12">
        <f t="shared" si="27"/>
        <v>2149.5096874999995</v>
      </c>
      <c r="AM20" s="40">
        <v>500</v>
      </c>
      <c r="AN20" s="40">
        <v>500</v>
      </c>
      <c r="AO20" s="40">
        <v>500</v>
      </c>
      <c r="AP20" s="40">
        <v>0</v>
      </c>
      <c r="AQ20" s="40">
        <v>0</v>
      </c>
      <c r="AR20" s="40" t="s">
        <v>67</v>
      </c>
      <c r="AS20" s="41">
        <f>AS19-(H19+AB19+AX19)</f>
        <v>2241</v>
      </c>
      <c r="AT20" s="42">
        <f t="shared" si="28"/>
        <v>1974</v>
      </c>
      <c r="AU20" s="42">
        <f t="shared" si="29"/>
        <v>235</v>
      </c>
      <c r="AV20" s="42">
        <f t="shared" si="30"/>
        <v>1000</v>
      </c>
      <c r="AW20" s="42">
        <f t="shared" si="31"/>
        <v>1000</v>
      </c>
      <c r="AX20" s="43">
        <f t="shared" si="18"/>
        <v>100</v>
      </c>
      <c r="AY20" s="44">
        <f t="shared" si="19"/>
        <v>100</v>
      </c>
      <c r="AZ20" s="44">
        <f t="shared" si="19"/>
        <v>100</v>
      </c>
      <c r="BA20" s="44">
        <f t="shared" si="19"/>
        <v>0</v>
      </c>
      <c r="BB20" s="44">
        <f t="shared" si="19"/>
        <v>0</v>
      </c>
      <c r="BC20" s="12">
        <f t="shared" si="20"/>
        <v>300</v>
      </c>
      <c r="BD20" s="43">
        <f>+BC18+BC19+BC20</f>
        <v>700</v>
      </c>
      <c r="BE20" s="45">
        <f>+BD20*0.85</f>
        <v>595</v>
      </c>
      <c r="BF20" s="46"/>
      <c r="BG20" s="46"/>
    </row>
    <row r="21" spans="1:59" x14ac:dyDescent="0.25">
      <c r="A21" s="39">
        <v>20</v>
      </c>
      <c r="B21" s="12">
        <f t="shared" si="3"/>
        <v>17500</v>
      </c>
      <c r="C21" s="12">
        <f t="shared" si="34"/>
        <v>7500</v>
      </c>
      <c r="D21" s="12">
        <f t="shared" si="35"/>
        <v>3000</v>
      </c>
      <c r="E21" s="59">
        <f>500+1000</f>
        <v>1500</v>
      </c>
      <c r="F21" s="12">
        <v>500</v>
      </c>
      <c r="G21" s="12">
        <v>0</v>
      </c>
      <c r="H21" s="12">
        <f t="shared" si="0"/>
        <v>900</v>
      </c>
      <c r="I21" s="12">
        <f t="shared" si="4"/>
        <v>270</v>
      </c>
      <c r="J21" s="12">
        <f t="shared" si="4"/>
        <v>135</v>
      </c>
      <c r="K21" s="12">
        <f t="shared" si="4"/>
        <v>45</v>
      </c>
      <c r="L21" s="12">
        <f t="shared" si="4"/>
        <v>0</v>
      </c>
      <c r="M21" s="12">
        <f t="shared" si="5"/>
        <v>10000</v>
      </c>
      <c r="N21" s="12">
        <f t="shared" si="5"/>
        <v>6500</v>
      </c>
      <c r="O21" s="12">
        <f t="shared" si="6"/>
        <v>500</v>
      </c>
      <c r="P21" s="12">
        <f t="shared" si="6"/>
        <v>0</v>
      </c>
      <c r="Q21" s="12">
        <f t="shared" si="6"/>
        <v>0</v>
      </c>
      <c r="R21" s="12">
        <f t="shared" si="7"/>
        <v>900</v>
      </c>
      <c r="S21" s="12">
        <f t="shared" si="8"/>
        <v>585</v>
      </c>
      <c r="T21" s="12">
        <f t="shared" si="8"/>
        <v>45</v>
      </c>
      <c r="U21" s="12">
        <f t="shared" si="8"/>
        <v>0</v>
      </c>
      <c r="V21" s="12">
        <f t="shared" si="8"/>
        <v>0</v>
      </c>
      <c r="W21" s="12">
        <f t="shared" si="21"/>
        <v>4450</v>
      </c>
      <c r="X21" s="12">
        <f t="shared" si="22"/>
        <v>900</v>
      </c>
      <c r="Y21" s="12">
        <f t="shared" si="23"/>
        <v>50</v>
      </c>
      <c r="Z21" s="12">
        <f t="shared" si="24"/>
        <v>0</v>
      </c>
      <c r="AA21" s="12">
        <f t="shared" si="25"/>
        <v>0</v>
      </c>
      <c r="AB21" s="12">
        <f t="shared" si="9"/>
        <v>486</v>
      </c>
      <c r="AC21" s="12">
        <f t="shared" si="10"/>
        <v>85.5</v>
      </c>
      <c r="AD21" s="12">
        <f t="shared" si="11"/>
        <v>4.5</v>
      </c>
      <c r="AE21" s="12">
        <f t="shared" si="12"/>
        <v>0</v>
      </c>
      <c r="AF21" s="12">
        <f t="shared" si="13"/>
        <v>0</v>
      </c>
      <c r="AG21" s="12">
        <f t="shared" si="2"/>
        <v>3006</v>
      </c>
      <c r="AH21" s="12">
        <f t="shared" si="14"/>
        <v>1239.9749999999999</v>
      </c>
      <c r="AI21" s="12">
        <f t="shared" si="15"/>
        <v>1769.7825</v>
      </c>
      <c r="AJ21" s="12">
        <f t="shared" si="16"/>
        <v>2478.8227499999998</v>
      </c>
      <c r="AK21" s="12">
        <f t="shared" si="26"/>
        <v>4628.3324374999993</v>
      </c>
      <c r="AL21" s="12">
        <f>(AK21-(AM21+AN21+AO21+AP21+AQ21))-BE21</f>
        <v>2723.3324374999993</v>
      </c>
      <c r="AM21" s="40">
        <v>500</v>
      </c>
      <c r="AN21" s="40">
        <v>500</v>
      </c>
      <c r="AO21" s="40">
        <v>500</v>
      </c>
      <c r="AP21" s="40">
        <v>0</v>
      </c>
      <c r="AQ21" s="40">
        <v>0</v>
      </c>
      <c r="AR21" s="40" t="s">
        <v>68</v>
      </c>
      <c r="AS21" s="41">
        <f>AS20-(H20+AB20+AX20)</f>
        <v>831.5</v>
      </c>
      <c r="AT21" s="42">
        <f t="shared" si="28"/>
        <v>1518.5</v>
      </c>
      <c r="AU21" s="61">
        <f>+(AU20-(J21+AD21+BA20))+2000</f>
        <v>2095.5</v>
      </c>
      <c r="AV21" s="42">
        <f t="shared" si="30"/>
        <v>955</v>
      </c>
      <c r="AW21" s="42">
        <f t="shared" si="31"/>
        <v>1000</v>
      </c>
      <c r="AX21" s="43">
        <f t="shared" si="18"/>
        <v>100</v>
      </c>
      <c r="AY21" s="44">
        <f t="shared" si="19"/>
        <v>100</v>
      </c>
      <c r="AZ21" s="44">
        <f t="shared" si="19"/>
        <v>100</v>
      </c>
      <c r="BA21" s="44">
        <f t="shared" si="19"/>
        <v>0</v>
      </c>
      <c r="BB21" s="44">
        <f t="shared" si="19"/>
        <v>0</v>
      </c>
      <c r="BC21" s="12">
        <f t="shared" si="20"/>
        <v>300</v>
      </c>
      <c r="BD21" s="43">
        <v>1000</v>
      </c>
      <c r="BE21" s="48">
        <f>+BD21-BE20</f>
        <v>405</v>
      </c>
      <c r="BF21" s="49">
        <f>+BC21</f>
        <v>300</v>
      </c>
      <c r="BG21" s="46">
        <f>+BF21*0.85</f>
        <v>255</v>
      </c>
    </row>
    <row r="22" spans="1:59" x14ac:dyDescent="0.25">
      <c r="A22" s="39">
        <v>21</v>
      </c>
      <c r="B22" s="12">
        <f t="shared" si="3"/>
        <v>21500</v>
      </c>
      <c r="C22" s="59">
        <f>2000+2500+3000+3500</f>
        <v>11000</v>
      </c>
      <c r="D22" s="12">
        <f t="shared" si="35"/>
        <v>3000</v>
      </c>
      <c r="E22" s="12">
        <f t="shared" ref="E22:E27" si="36">500+1000</f>
        <v>1500</v>
      </c>
      <c r="F22" s="12">
        <v>500</v>
      </c>
      <c r="G22" s="12">
        <v>500</v>
      </c>
      <c r="H22" s="12">
        <f t="shared" si="0"/>
        <v>1320</v>
      </c>
      <c r="I22" s="12">
        <f t="shared" si="4"/>
        <v>270</v>
      </c>
      <c r="J22" s="12">
        <f t="shared" si="4"/>
        <v>135</v>
      </c>
      <c r="K22" s="12">
        <f t="shared" si="4"/>
        <v>45</v>
      </c>
      <c r="L22" s="12">
        <f t="shared" si="4"/>
        <v>45</v>
      </c>
      <c r="M22" s="12">
        <f t="shared" si="5"/>
        <v>10500</v>
      </c>
      <c r="N22" s="12">
        <f t="shared" si="5"/>
        <v>7000</v>
      </c>
      <c r="O22" s="12">
        <f t="shared" si="6"/>
        <v>1000</v>
      </c>
      <c r="P22" s="12">
        <f t="shared" si="6"/>
        <v>0</v>
      </c>
      <c r="Q22" s="12">
        <f t="shared" si="6"/>
        <v>0</v>
      </c>
      <c r="R22" s="12">
        <f t="shared" si="7"/>
        <v>945</v>
      </c>
      <c r="S22" s="12">
        <f t="shared" si="8"/>
        <v>630</v>
      </c>
      <c r="T22" s="12">
        <f t="shared" si="8"/>
        <v>90</v>
      </c>
      <c r="U22" s="12">
        <f t="shared" si="8"/>
        <v>0</v>
      </c>
      <c r="V22" s="12">
        <f t="shared" si="8"/>
        <v>0</v>
      </c>
      <c r="W22" s="12">
        <f t="shared" si="21"/>
        <v>4950</v>
      </c>
      <c r="X22" s="12">
        <f t="shared" si="22"/>
        <v>1200</v>
      </c>
      <c r="Y22" s="12">
        <f t="shared" si="23"/>
        <v>100</v>
      </c>
      <c r="Z22" s="12">
        <f t="shared" si="24"/>
        <v>0</v>
      </c>
      <c r="AA22" s="12">
        <f t="shared" si="25"/>
        <v>0</v>
      </c>
      <c r="AB22" s="12">
        <f t="shared" si="9"/>
        <v>562.5</v>
      </c>
      <c r="AC22" s="12">
        <f t="shared" si="10"/>
        <v>117</v>
      </c>
      <c r="AD22" s="12">
        <f t="shared" si="11"/>
        <v>9</v>
      </c>
      <c r="AE22" s="12">
        <f t="shared" si="12"/>
        <v>0</v>
      </c>
      <c r="AF22" s="12">
        <f t="shared" si="13"/>
        <v>0</v>
      </c>
      <c r="AG22" s="12">
        <f t="shared" si="2"/>
        <v>3673.5</v>
      </c>
      <c r="AH22" s="12">
        <f t="shared" si="14"/>
        <v>1515.3187499999999</v>
      </c>
      <c r="AI22" s="12">
        <f t="shared" si="15"/>
        <v>2162.7731249999997</v>
      </c>
      <c r="AJ22" s="12">
        <f t="shared" si="16"/>
        <v>3029.2599374999995</v>
      </c>
      <c r="AK22" s="12">
        <f t="shared" si="26"/>
        <v>5752.5923749999984</v>
      </c>
      <c r="AL22" s="12">
        <f>(AK22-(AM22+AN22+AO22+AP22+AQ22))-BE22</f>
        <v>507.59237499999836</v>
      </c>
      <c r="AM22" s="40">
        <v>500</v>
      </c>
      <c r="AN22" s="40">
        <v>500</v>
      </c>
      <c r="AO22" s="40">
        <v>500</v>
      </c>
      <c r="AP22" s="40">
        <v>500</v>
      </c>
      <c r="AQ22" s="40">
        <v>0</v>
      </c>
      <c r="AR22" s="40" t="s">
        <v>69</v>
      </c>
      <c r="AS22" s="60">
        <f>(AS21-(H21+AB21+AX21))+7000</f>
        <v>6345.5</v>
      </c>
      <c r="AT22" s="42">
        <f t="shared" si="28"/>
        <v>1031.5</v>
      </c>
      <c r="AU22" s="42">
        <f t="shared" si="29"/>
        <v>1951.5</v>
      </c>
      <c r="AV22" s="42">
        <f t="shared" si="30"/>
        <v>910</v>
      </c>
      <c r="AW22" s="42">
        <f t="shared" si="31"/>
        <v>1000</v>
      </c>
      <c r="AX22" s="43">
        <f t="shared" si="18"/>
        <v>100</v>
      </c>
      <c r="AY22" s="44">
        <f t="shared" si="19"/>
        <v>100</v>
      </c>
      <c r="AZ22" s="44">
        <f t="shared" si="19"/>
        <v>100</v>
      </c>
      <c r="BA22" s="44">
        <f t="shared" si="19"/>
        <v>100</v>
      </c>
      <c r="BB22" s="44">
        <f t="shared" si="19"/>
        <v>0</v>
      </c>
      <c r="BC22" s="12">
        <f t="shared" si="20"/>
        <v>400</v>
      </c>
      <c r="BD22" s="43">
        <v>3500</v>
      </c>
      <c r="BE22" s="48">
        <f>+BD22-BG21</f>
        <v>3245</v>
      </c>
      <c r="BF22" s="46"/>
      <c r="BG22" s="46"/>
    </row>
    <row r="23" spans="1:59" x14ac:dyDescent="0.25">
      <c r="A23" s="39">
        <v>22</v>
      </c>
      <c r="B23" s="12">
        <f t="shared" si="3"/>
        <v>22000</v>
      </c>
      <c r="C23" s="12">
        <f t="shared" ref="C23:C24" si="37">2000+2500+3000+3500</f>
        <v>11000</v>
      </c>
      <c r="D23" s="12">
        <f t="shared" si="35"/>
        <v>3000</v>
      </c>
      <c r="E23" s="12">
        <f t="shared" si="36"/>
        <v>1500</v>
      </c>
      <c r="F23" s="12">
        <v>500</v>
      </c>
      <c r="G23" s="12">
        <v>500</v>
      </c>
      <c r="H23" s="12">
        <f t="shared" si="0"/>
        <v>1320</v>
      </c>
      <c r="I23" s="12">
        <f t="shared" si="4"/>
        <v>270</v>
      </c>
      <c r="J23" s="12">
        <f t="shared" si="4"/>
        <v>135</v>
      </c>
      <c r="K23" s="12">
        <f t="shared" si="4"/>
        <v>45</v>
      </c>
      <c r="L23" s="12">
        <f t="shared" si="4"/>
        <v>45</v>
      </c>
      <c r="M23" s="12">
        <f t="shared" si="5"/>
        <v>11000</v>
      </c>
      <c r="N23" s="12">
        <f t="shared" si="5"/>
        <v>7500</v>
      </c>
      <c r="O23" s="12">
        <f t="shared" si="6"/>
        <v>1500</v>
      </c>
      <c r="P23" s="12">
        <f t="shared" si="6"/>
        <v>500</v>
      </c>
      <c r="Q23" s="12">
        <f t="shared" si="6"/>
        <v>0</v>
      </c>
      <c r="R23" s="12">
        <f t="shared" si="7"/>
        <v>990</v>
      </c>
      <c r="S23" s="12">
        <f t="shared" si="8"/>
        <v>675</v>
      </c>
      <c r="T23" s="12">
        <f t="shared" si="8"/>
        <v>135</v>
      </c>
      <c r="U23" s="12">
        <f t="shared" si="8"/>
        <v>45</v>
      </c>
      <c r="V23" s="12">
        <f t="shared" si="8"/>
        <v>0</v>
      </c>
      <c r="W23" s="12">
        <f t="shared" si="21"/>
        <v>5600</v>
      </c>
      <c r="X23" s="12">
        <f t="shared" si="22"/>
        <v>1700</v>
      </c>
      <c r="Y23" s="12">
        <f t="shared" si="23"/>
        <v>400</v>
      </c>
      <c r="Z23" s="12">
        <f t="shared" si="24"/>
        <v>50</v>
      </c>
      <c r="AA23" s="12">
        <f t="shared" si="25"/>
        <v>0</v>
      </c>
      <c r="AB23" s="12">
        <f t="shared" si="9"/>
        <v>697.5</v>
      </c>
      <c r="AC23" s="12">
        <f t="shared" si="10"/>
        <v>193.5</v>
      </c>
      <c r="AD23" s="12">
        <f t="shared" si="11"/>
        <v>40.5</v>
      </c>
      <c r="AE23" s="12">
        <f t="shared" si="12"/>
        <v>4.5</v>
      </c>
      <c r="AF23" s="12">
        <f t="shared" si="13"/>
        <v>0</v>
      </c>
      <c r="AG23" s="12">
        <f t="shared" si="2"/>
        <v>4101</v>
      </c>
      <c r="AH23" s="12">
        <f t="shared" si="14"/>
        <v>1691.6624999999999</v>
      </c>
      <c r="AI23" s="12">
        <f t="shared" si="15"/>
        <v>2414.4637499999999</v>
      </c>
      <c r="AJ23" s="12">
        <f t="shared" si="16"/>
        <v>3381.7871249999998</v>
      </c>
      <c r="AK23" s="12">
        <f t="shared" si="26"/>
        <v>3889.3794999999982</v>
      </c>
      <c r="AL23" s="12">
        <f t="shared" si="27"/>
        <v>1889.3794999999982</v>
      </c>
      <c r="AM23" s="40">
        <v>500</v>
      </c>
      <c r="AN23" s="40">
        <v>500</v>
      </c>
      <c r="AO23" s="40">
        <v>500</v>
      </c>
      <c r="AP23" s="40">
        <v>500</v>
      </c>
      <c r="AQ23" s="40">
        <v>0</v>
      </c>
      <c r="AR23" s="40" t="s">
        <v>70</v>
      </c>
      <c r="AS23" s="41">
        <f>AS22-(H22+AB22+AX22)</f>
        <v>4363</v>
      </c>
      <c r="AT23" s="42">
        <f t="shared" si="28"/>
        <v>468</v>
      </c>
      <c r="AU23" s="42">
        <f t="shared" si="29"/>
        <v>1676</v>
      </c>
      <c r="AV23" s="42">
        <f t="shared" si="30"/>
        <v>865</v>
      </c>
      <c r="AW23" s="42">
        <f t="shared" si="31"/>
        <v>955</v>
      </c>
      <c r="AX23" s="43">
        <f t="shared" si="18"/>
        <v>100</v>
      </c>
      <c r="AY23" s="44">
        <f t="shared" si="19"/>
        <v>100</v>
      </c>
      <c r="AZ23" s="44">
        <f t="shared" si="19"/>
        <v>100</v>
      </c>
      <c r="BA23" s="44">
        <f t="shared" si="19"/>
        <v>100</v>
      </c>
      <c r="BB23" s="44">
        <f t="shared" si="19"/>
        <v>0</v>
      </c>
      <c r="BC23" s="12">
        <f t="shared" si="20"/>
        <v>400</v>
      </c>
      <c r="BD23" s="43">
        <f>+BC22+BC23</f>
        <v>800</v>
      </c>
      <c r="BE23" s="45">
        <f>+BD23*0.85</f>
        <v>680</v>
      </c>
      <c r="BF23" s="46"/>
      <c r="BG23" s="46"/>
    </row>
    <row r="24" spans="1:59" x14ac:dyDescent="0.25">
      <c r="A24" s="39">
        <v>23</v>
      </c>
      <c r="B24" s="12">
        <f t="shared" si="3"/>
        <v>22500</v>
      </c>
      <c r="C24" s="12">
        <f t="shared" si="37"/>
        <v>11000</v>
      </c>
      <c r="D24" s="59">
        <f>500+1000+1500+2000</f>
        <v>5000</v>
      </c>
      <c r="E24" s="12">
        <f t="shared" si="36"/>
        <v>1500</v>
      </c>
      <c r="F24" s="12">
        <v>500</v>
      </c>
      <c r="G24" s="12">
        <v>500</v>
      </c>
      <c r="H24" s="12">
        <f t="shared" si="0"/>
        <v>1320</v>
      </c>
      <c r="I24" s="12">
        <f t="shared" si="4"/>
        <v>450</v>
      </c>
      <c r="J24" s="12">
        <f t="shared" si="4"/>
        <v>135</v>
      </c>
      <c r="K24" s="12">
        <f t="shared" si="4"/>
        <v>45</v>
      </c>
      <c r="L24" s="12">
        <f t="shared" si="4"/>
        <v>45</v>
      </c>
      <c r="M24" s="12">
        <f t="shared" si="5"/>
        <v>11500</v>
      </c>
      <c r="N24" s="12">
        <f t="shared" si="5"/>
        <v>8000</v>
      </c>
      <c r="O24" s="12">
        <f t="shared" si="6"/>
        <v>2000</v>
      </c>
      <c r="P24" s="12">
        <f t="shared" si="6"/>
        <v>1000</v>
      </c>
      <c r="Q24" s="12">
        <f t="shared" si="6"/>
        <v>0</v>
      </c>
      <c r="R24" s="12">
        <f t="shared" si="7"/>
        <v>1035</v>
      </c>
      <c r="S24" s="12">
        <f t="shared" si="8"/>
        <v>720</v>
      </c>
      <c r="T24" s="12">
        <f t="shared" si="8"/>
        <v>180</v>
      </c>
      <c r="U24" s="12">
        <f t="shared" si="8"/>
        <v>90</v>
      </c>
      <c r="V24" s="12">
        <f t="shared" si="8"/>
        <v>0</v>
      </c>
      <c r="W24" s="12">
        <f t="shared" si="21"/>
        <v>6250</v>
      </c>
      <c r="X24" s="12">
        <f t="shared" si="22"/>
        <v>2200</v>
      </c>
      <c r="Y24" s="12">
        <f t="shared" si="23"/>
        <v>700</v>
      </c>
      <c r="Z24" s="12">
        <f t="shared" si="24"/>
        <v>100</v>
      </c>
      <c r="AA24" s="12">
        <f t="shared" si="25"/>
        <v>0</v>
      </c>
      <c r="AB24" s="12">
        <f t="shared" si="9"/>
        <v>832.5</v>
      </c>
      <c r="AC24" s="12">
        <f t="shared" si="10"/>
        <v>270</v>
      </c>
      <c r="AD24" s="12">
        <f t="shared" si="11"/>
        <v>72</v>
      </c>
      <c r="AE24" s="12">
        <f t="shared" si="12"/>
        <v>9</v>
      </c>
      <c r="AF24" s="12">
        <f t="shared" si="13"/>
        <v>0</v>
      </c>
      <c r="AG24" s="12">
        <f t="shared" si="2"/>
        <v>4528.5</v>
      </c>
      <c r="AH24" s="12">
        <f t="shared" si="14"/>
        <v>1868.0062499999999</v>
      </c>
      <c r="AI24" s="12">
        <f t="shared" si="15"/>
        <v>2666.1543750000001</v>
      </c>
      <c r="AJ24" s="12">
        <f t="shared" si="16"/>
        <v>3734.3143124999997</v>
      </c>
      <c r="AK24" s="12">
        <f t="shared" si="26"/>
        <v>5623.6938124999979</v>
      </c>
      <c r="AL24" s="12">
        <f>(AK24-(AM24+AN24+AO24+AP24+AQ24))-BE24</f>
        <v>2303.6938124999979</v>
      </c>
      <c r="AM24" s="43">
        <v>500</v>
      </c>
      <c r="AN24" s="43">
        <v>500</v>
      </c>
      <c r="AO24" s="43">
        <v>500</v>
      </c>
      <c r="AP24" s="43">
        <v>500</v>
      </c>
      <c r="AQ24" s="43">
        <v>0</v>
      </c>
      <c r="AR24" s="40" t="s">
        <v>71</v>
      </c>
      <c r="AS24" s="41">
        <f>AS23-(H23+AB23+AX23)</f>
        <v>2245.5</v>
      </c>
      <c r="AT24" s="61">
        <f>(AT23-(+I24+AC24+AY24))+4000</f>
        <v>3648</v>
      </c>
      <c r="AU24" s="42">
        <f t="shared" si="29"/>
        <v>1369</v>
      </c>
      <c r="AV24" s="42">
        <f t="shared" si="30"/>
        <v>815.5</v>
      </c>
      <c r="AW24" s="42">
        <f t="shared" si="31"/>
        <v>910</v>
      </c>
      <c r="AX24" s="43">
        <f t="shared" si="18"/>
        <v>100</v>
      </c>
      <c r="AY24" s="44">
        <f t="shared" si="19"/>
        <v>100</v>
      </c>
      <c r="AZ24" s="44">
        <f t="shared" si="19"/>
        <v>100</v>
      </c>
      <c r="BA24" s="44">
        <f t="shared" si="19"/>
        <v>100</v>
      </c>
      <c r="BB24" s="44">
        <f t="shared" si="19"/>
        <v>0</v>
      </c>
      <c r="BC24" s="12">
        <f t="shared" si="20"/>
        <v>400</v>
      </c>
      <c r="BD24" s="43">
        <v>2000</v>
      </c>
      <c r="BE24" s="48">
        <f>+BD24-BE23</f>
        <v>1320</v>
      </c>
      <c r="BF24" s="49">
        <f>+BC24</f>
        <v>400</v>
      </c>
      <c r="BG24" s="46">
        <f>+BF24*0.85</f>
        <v>340</v>
      </c>
    </row>
    <row r="25" spans="1:59" x14ac:dyDescent="0.25">
      <c r="A25" s="39">
        <v>24</v>
      </c>
      <c r="B25" s="12">
        <f t="shared" si="3"/>
        <v>27500</v>
      </c>
      <c r="C25" s="59">
        <f>2000+2500+3000+3500+4500</f>
        <v>15500</v>
      </c>
      <c r="D25" s="12">
        <f t="shared" ref="D25:D27" si="38">500+1000+1500+2000</f>
        <v>5000</v>
      </c>
      <c r="E25" s="12">
        <f t="shared" si="36"/>
        <v>1500</v>
      </c>
      <c r="F25" s="12">
        <v>500</v>
      </c>
      <c r="G25" s="12">
        <v>500</v>
      </c>
      <c r="H25" s="12">
        <f t="shared" si="0"/>
        <v>1860</v>
      </c>
      <c r="I25" s="12">
        <f t="shared" si="4"/>
        <v>450</v>
      </c>
      <c r="J25" s="12">
        <f t="shared" si="4"/>
        <v>135</v>
      </c>
      <c r="K25" s="12">
        <f t="shared" si="4"/>
        <v>45</v>
      </c>
      <c r="L25" s="12">
        <f t="shared" si="4"/>
        <v>45</v>
      </c>
      <c r="M25" s="12">
        <f t="shared" si="5"/>
        <v>12000</v>
      </c>
      <c r="N25" s="12">
        <f t="shared" si="5"/>
        <v>8500</v>
      </c>
      <c r="O25" s="12">
        <f t="shared" si="6"/>
        <v>2500</v>
      </c>
      <c r="P25" s="12">
        <f t="shared" si="6"/>
        <v>1500</v>
      </c>
      <c r="Q25" s="12">
        <f t="shared" si="6"/>
        <v>0</v>
      </c>
      <c r="R25" s="12">
        <f t="shared" si="7"/>
        <v>1080</v>
      </c>
      <c r="S25" s="12">
        <f t="shared" si="8"/>
        <v>765</v>
      </c>
      <c r="T25" s="12">
        <f t="shared" si="8"/>
        <v>225</v>
      </c>
      <c r="U25" s="12">
        <f t="shared" si="8"/>
        <v>135</v>
      </c>
      <c r="V25" s="12">
        <f t="shared" si="8"/>
        <v>0</v>
      </c>
      <c r="W25" s="12">
        <f t="shared" si="21"/>
        <v>6900</v>
      </c>
      <c r="X25" s="12">
        <f t="shared" si="22"/>
        <v>2700</v>
      </c>
      <c r="Y25" s="12">
        <f t="shared" si="23"/>
        <v>1000</v>
      </c>
      <c r="Z25" s="12">
        <f t="shared" si="24"/>
        <v>150</v>
      </c>
      <c r="AA25" s="12">
        <f t="shared" si="25"/>
        <v>0</v>
      </c>
      <c r="AB25" s="12">
        <f t="shared" si="9"/>
        <v>967.5</v>
      </c>
      <c r="AC25" s="12">
        <f t="shared" si="10"/>
        <v>346.5</v>
      </c>
      <c r="AD25" s="12">
        <f t="shared" si="11"/>
        <v>103.5</v>
      </c>
      <c r="AE25" s="12">
        <f t="shared" si="12"/>
        <v>13.5</v>
      </c>
      <c r="AF25" s="12">
        <f t="shared" si="13"/>
        <v>0</v>
      </c>
      <c r="AG25" s="12">
        <f t="shared" si="2"/>
        <v>5496</v>
      </c>
      <c r="AH25" s="12">
        <f t="shared" si="14"/>
        <v>2267.1</v>
      </c>
      <c r="AI25" s="12">
        <f t="shared" si="15"/>
        <v>3235.77</v>
      </c>
      <c r="AJ25" s="12">
        <f t="shared" si="16"/>
        <v>4532.1389999999992</v>
      </c>
      <c r="AK25" s="12">
        <f t="shared" si="26"/>
        <v>6835.8328124999971</v>
      </c>
      <c r="AL25" s="12">
        <f>(AK25-(AM25+AN25+AO25+AP25+AQ25))-BE25</f>
        <v>675.83281249999709</v>
      </c>
      <c r="AM25" s="43">
        <v>500</v>
      </c>
      <c r="AN25" s="43">
        <v>500</v>
      </c>
      <c r="AO25" s="43">
        <v>500</v>
      </c>
      <c r="AP25" s="43">
        <v>500</v>
      </c>
      <c r="AQ25" s="43">
        <v>0</v>
      </c>
      <c r="AR25" s="40" t="s">
        <v>72</v>
      </c>
      <c r="AS25" s="60">
        <f>(AS24-(H24+AB24+AX24))+9000</f>
        <v>8993</v>
      </c>
      <c r="AT25" s="42">
        <f t="shared" si="28"/>
        <v>2751.5</v>
      </c>
      <c r="AU25" s="42">
        <f t="shared" si="29"/>
        <v>1030.5</v>
      </c>
      <c r="AV25" s="42">
        <f t="shared" si="30"/>
        <v>761.5</v>
      </c>
      <c r="AW25" s="42">
        <f t="shared" si="31"/>
        <v>865</v>
      </c>
      <c r="AX25" s="43">
        <f t="shared" si="18"/>
        <v>100</v>
      </c>
      <c r="AY25" s="44">
        <f t="shared" si="19"/>
        <v>100</v>
      </c>
      <c r="AZ25" s="44">
        <f t="shared" si="19"/>
        <v>100</v>
      </c>
      <c r="BA25" s="44">
        <f t="shared" si="19"/>
        <v>100</v>
      </c>
      <c r="BB25" s="44">
        <f t="shared" si="19"/>
        <v>0</v>
      </c>
      <c r="BC25" s="12">
        <f t="shared" si="20"/>
        <v>400</v>
      </c>
      <c r="BD25" s="43">
        <v>4500</v>
      </c>
      <c r="BE25" s="48">
        <f>+BD25-BG24</f>
        <v>4160</v>
      </c>
      <c r="BF25" s="46"/>
      <c r="BG25" s="46"/>
    </row>
    <row r="26" spans="1:59" x14ac:dyDescent="0.25">
      <c r="A26" s="50">
        <v>25</v>
      </c>
      <c r="B26" s="51">
        <f t="shared" si="3"/>
        <v>28000</v>
      </c>
      <c r="C26" s="51">
        <f t="shared" ref="C26:C27" si="39">2000+2500+3000+3500+4500</f>
        <v>15500</v>
      </c>
      <c r="D26" s="51">
        <f t="shared" si="38"/>
        <v>5000</v>
      </c>
      <c r="E26" s="51">
        <f t="shared" si="36"/>
        <v>1500</v>
      </c>
      <c r="F26" s="51">
        <v>500</v>
      </c>
      <c r="G26" s="51">
        <v>500</v>
      </c>
      <c r="H26" s="51">
        <f t="shared" si="0"/>
        <v>1860</v>
      </c>
      <c r="I26" s="51">
        <f t="shared" si="4"/>
        <v>450</v>
      </c>
      <c r="J26" s="51">
        <f t="shared" si="4"/>
        <v>135</v>
      </c>
      <c r="K26" s="51">
        <f t="shared" si="4"/>
        <v>45</v>
      </c>
      <c r="L26" s="51">
        <f t="shared" si="4"/>
        <v>45</v>
      </c>
      <c r="M26" s="51">
        <f t="shared" si="5"/>
        <v>12500</v>
      </c>
      <c r="N26" s="51">
        <f t="shared" si="5"/>
        <v>9000</v>
      </c>
      <c r="O26" s="51">
        <f t="shared" si="6"/>
        <v>3000</v>
      </c>
      <c r="P26" s="51">
        <f t="shared" si="6"/>
        <v>2000</v>
      </c>
      <c r="Q26" s="51">
        <f t="shared" si="6"/>
        <v>0</v>
      </c>
      <c r="R26" s="51">
        <f t="shared" si="7"/>
        <v>1125</v>
      </c>
      <c r="S26" s="51">
        <f t="shared" si="8"/>
        <v>810</v>
      </c>
      <c r="T26" s="51">
        <f t="shared" si="8"/>
        <v>270</v>
      </c>
      <c r="U26" s="51">
        <f t="shared" si="8"/>
        <v>180</v>
      </c>
      <c r="V26" s="51">
        <f t="shared" si="8"/>
        <v>0</v>
      </c>
      <c r="W26" s="51">
        <f t="shared" si="21"/>
        <v>7550</v>
      </c>
      <c r="X26" s="51">
        <f t="shared" si="22"/>
        <v>3200</v>
      </c>
      <c r="Y26" s="51">
        <f t="shared" si="23"/>
        <v>1300</v>
      </c>
      <c r="Z26" s="51">
        <f t="shared" si="24"/>
        <v>200</v>
      </c>
      <c r="AA26" s="51">
        <f t="shared" si="25"/>
        <v>0</v>
      </c>
      <c r="AB26" s="51">
        <f t="shared" si="9"/>
        <v>1102.5</v>
      </c>
      <c r="AC26" s="51">
        <f t="shared" si="10"/>
        <v>423</v>
      </c>
      <c r="AD26" s="51">
        <f t="shared" si="11"/>
        <v>135</v>
      </c>
      <c r="AE26" s="51">
        <f t="shared" si="12"/>
        <v>18</v>
      </c>
      <c r="AF26" s="51">
        <f t="shared" si="13"/>
        <v>0</v>
      </c>
      <c r="AG26" s="51">
        <f t="shared" si="2"/>
        <v>5923.5</v>
      </c>
      <c r="AH26" s="51">
        <f t="shared" si="14"/>
        <v>2443.4437499999999</v>
      </c>
      <c r="AI26" s="51">
        <f t="shared" si="15"/>
        <v>3487.4606250000002</v>
      </c>
      <c r="AJ26" s="51">
        <f t="shared" si="16"/>
        <v>4884.6661875</v>
      </c>
      <c r="AK26" s="51">
        <f t="shared" si="26"/>
        <v>5560.4989999999971</v>
      </c>
      <c r="AL26" s="51">
        <f t="shared" si="27"/>
        <v>3560.4989999999971</v>
      </c>
      <c r="AM26" s="20">
        <v>500</v>
      </c>
      <c r="AN26" s="20">
        <v>500</v>
      </c>
      <c r="AO26" s="20">
        <v>500</v>
      </c>
      <c r="AP26" s="20">
        <v>500</v>
      </c>
      <c r="AQ26" s="20">
        <v>0</v>
      </c>
      <c r="AR26" s="26" t="s">
        <v>73</v>
      </c>
      <c r="AS26" s="52">
        <f>AS25-(H25+AB25+AX25)</f>
        <v>6065.5</v>
      </c>
      <c r="AT26" s="53">
        <f t="shared" si="28"/>
        <v>1778.5</v>
      </c>
      <c r="AU26" s="53">
        <f t="shared" si="29"/>
        <v>660.5</v>
      </c>
      <c r="AV26" s="53">
        <f t="shared" si="30"/>
        <v>703</v>
      </c>
      <c r="AW26" s="53">
        <f t="shared" si="31"/>
        <v>820</v>
      </c>
      <c r="AX26" s="20">
        <f t="shared" si="18"/>
        <v>100</v>
      </c>
      <c r="AY26" s="54">
        <f t="shared" si="19"/>
        <v>100</v>
      </c>
      <c r="AZ26" s="54">
        <f t="shared" si="19"/>
        <v>100</v>
      </c>
      <c r="BA26" s="54">
        <f t="shared" si="19"/>
        <v>100</v>
      </c>
      <c r="BB26" s="54">
        <f t="shared" si="19"/>
        <v>0</v>
      </c>
      <c r="BC26" s="51">
        <f t="shared" si="20"/>
        <v>400</v>
      </c>
      <c r="BD26" s="20"/>
      <c r="BE26" s="55"/>
      <c r="BF26" s="56"/>
      <c r="BG26" s="56"/>
    </row>
    <row r="27" spans="1:59" x14ac:dyDescent="0.25">
      <c r="A27" s="50">
        <v>26</v>
      </c>
      <c r="B27" s="51">
        <f t="shared" si="3"/>
        <v>28500</v>
      </c>
      <c r="C27" s="51">
        <f t="shared" si="39"/>
        <v>15500</v>
      </c>
      <c r="D27" s="51">
        <f t="shared" si="38"/>
        <v>5000</v>
      </c>
      <c r="E27" s="51">
        <f t="shared" si="36"/>
        <v>1500</v>
      </c>
      <c r="F27" s="51">
        <v>500</v>
      </c>
      <c r="G27" s="51">
        <v>500</v>
      </c>
      <c r="H27" s="51">
        <f t="shared" si="0"/>
        <v>1860</v>
      </c>
      <c r="I27" s="51">
        <f t="shared" si="4"/>
        <v>450</v>
      </c>
      <c r="J27" s="51">
        <f t="shared" si="4"/>
        <v>135</v>
      </c>
      <c r="K27" s="51">
        <f t="shared" si="4"/>
        <v>45</v>
      </c>
      <c r="L27" s="51">
        <f t="shared" si="4"/>
        <v>45</v>
      </c>
      <c r="M27" s="51">
        <f t="shared" si="5"/>
        <v>13000</v>
      </c>
      <c r="N27" s="51">
        <f t="shared" si="5"/>
        <v>9500</v>
      </c>
      <c r="O27" s="51">
        <f t="shared" si="6"/>
        <v>3500</v>
      </c>
      <c r="P27" s="51">
        <f t="shared" si="6"/>
        <v>2500</v>
      </c>
      <c r="Q27" s="51">
        <f t="shared" si="6"/>
        <v>0</v>
      </c>
      <c r="R27" s="51">
        <f t="shared" si="7"/>
        <v>1170</v>
      </c>
      <c r="S27" s="51">
        <f t="shared" si="8"/>
        <v>855</v>
      </c>
      <c r="T27" s="51">
        <f t="shared" si="8"/>
        <v>315</v>
      </c>
      <c r="U27" s="51">
        <f t="shared" si="8"/>
        <v>225</v>
      </c>
      <c r="V27" s="51">
        <f t="shared" si="8"/>
        <v>0</v>
      </c>
      <c r="W27" s="51">
        <f t="shared" si="21"/>
        <v>8200</v>
      </c>
      <c r="X27" s="51">
        <f t="shared" si="22"/>
        <v>3700</v>
      </c>
      <c r="Y27" s="51">
        <f t="shared" si="23"/>
        <v>1600</v>
      </c>
      <c r="Z27" s="51">
        <f t="shared" si="24"/>
        <v>250</v>
      </c>
      <c r="AA27" s="51">
        <f t="shared" si="25"/>
        <v>0</v>
      </c>
      <c r="AB27" s="51">
        <f t="shared" si="9"/>
        <v>1237.5</v>
      </c>
      <c r="AC27" s="51">
        <f t="shared" si="10"/>
        <v>499.5</v>
      </c>
      <c r="AD27" s="51">
        <f t="shared" si="11"/>
        <v>166.5</v>
      </c>
      <c r="AE27" s="51">
        <f t="shared" si="12"/>
        <v>22.5</v>
      </c>
      <c r="AF27" s="51">
        <f t="shared" si="13"/>
        <v>0</v>
      </c>
      <c r="AG27" s="51">
        <f t="shared" si="2"/>
        <v>6351</v>
      </c>
      <c r="AH27" s="51">
        <f t="shared" si="14"/>
        <v>2619.7874999999999</v>
      </c>
      <c r="AI27" s="51">
        <f t="shared" si="15"/>
        <v>3739.1512499999999</v>
      </c>
      <c r="AJ27" s="51">
        <f t="shared" si="16"/>
        <v>5237.1933749999998</v>
      </c>
      <c r="AK27" s="51">
        <f t="shared" si="26"/>
        <v>8797.6923749999969</v>
      </c>
      <c r="AL27" s="51">
        <f t="shared" si="27"/>
        <v>6797.6923749999969</v>
      </c>
      <c r="AM27" s="20">
        <v>500</v>
      </c>
      <c r="AN27" s="20">
        <v>500</v>
      </c>
      <c r="AO27" s="20">
        <v>500</v>
      </c>
      <c r="AP27" s="20">
        <v>500</v>
      </c>
      <c r="AQ27" s="20">
        <v>0</v>
      </c>
      <c r="AR27" s="26" t="s">
        <v>74</v>
      </c>
      <c r="AS27" s="52">
        <f>AS26-(H26+AB26+AX26)</f>
        <v>3003</v>
      </c>
      <c r="AT27" s="53">
        <f t="shared" si="28"/>
        <v>729</v>
      </c>
      <c r="AU27" s="53">
        <f t="shared" si="29"/>
        <v>259</v>
      </c>
      <c r="AV27" s="53">
        <f t="shared" si="30"/>
        <v>640</v>
      </c>
      <c r="AW27" s="53">
        <f t="shared" si="31"/>
        <v>775</v>
      </c>
      <c r="AX27" s="20">
        <f t="shared" si="18"/>
        <v>100</v>
      </c>
      <c r="AY27" s="54">
        <f t="shared" si="19"/>
        <v>100</v>
      </c>
      <c r="AZ27" s="54">
        <f t="shared" si="19"/>
        <v>100</v>
      </c>
      <c r="BA27" s="54">
        <f t="shared" si="19"/>
        <v>100</v>
      </c>
      <c r="BB27" s="54">
        <f t="shared" si="19"/>
        <v>0</v>
      </c>
      <c r="BC27" s="51">
        <f t="shared" si="20"/>
        <v>400</v>
      </c>
      <c r="BD27" s="20">
        <f>+BC25+BC26+BC27</f>
        <v>1200</v>
      </c>
      <c r="BE27" s="55">
        <f>+BD27*0.85</f>
        <v>1020</v>
      </c>
      <c r="BF27" s="56"/>
      <c r="BG27" s="56"/>
    </row>
    <row r="28" spans="1:59" x14ac:dyDescent="0.25">
      <c r="A28" s="50">
        <v>27</v>
      </c>
      <c r="B28" s="51">
        <f t="shared" si="3"/>
        <v>35000</v>
      </c>
      <c r="C28" s="59">
        <f>2000+2500+3000+3500+4500+6000</f>
        <v>21500</v>
      </c>
      <c r="D28" s="59">
        <f>500+1000+1500+2000+3000</f>
        <v>8000</v>
      </c>
      <c r="E28" s="59">
        <f>500+1000+2000</f>
        <v>3500</v>
      </c>
      <c r="F28" s="51">
        <v>500</v>
      </c>
      <c r="G28" s="51">
        <v>500</v>
      </c>
      <c r="H28" s="51">
        <f t="shared" si="0"/>
        <v>2580</v>
      </c>
      <c r="I28" s="51">
        <f t="shared" si="4"/>
        <v>720</v>
      </c>
      <c r="J28" s="51">
        <f t="shared" si="4"/>
        <v>315</v>
      </c>
      <c r="K28" s="51">
        <f t="shared" si="4"/>
        <v>45</v>
      </c>
      <c r="L28" s="51">
        <f t="shared" si="4"/>
        <v>45</v>
      </c>
      <c r="M28" s="51">
        <f t="shared" si="5"/>
        <v>13500</v>
      </c>
      <c r="N28" s="51">
        <f t="shared" si="5"/>
        <v>10000</v>
      </c>
      <c r="O28" s="51">
        <f t="shared" si="6"/>
        <v>4000</v>
      </c>
      <c r="P28" s="51">
        <f t="shared" si="6"/>
        <v>3000</v>
      </c>
      <c r="Q28" s="51">
        <f t="shared" si="6"/>
        <v>0</v>
      </c>
      <c r="R28" s="51">
        <f t="shared" si="7"/>
        <v>1215</v>
      </c>
      <c r="S28" s="51">
        <f t="shared" si="8"/>
        <v>900</v>
      </c>
      <c r="T28" s="51">
        <f t="shared" si="8"/>
        <v>360</v>
      </c>
      <c r="U28" s="51">
        <f t="shared" si="8"/>
        <v>270</v>
      </c>
      <c r="V28" s="51">
        <f t="shared" si="8"/>
        <v>0</v>
      </c>
      <c r="W28" s="51">
        <f t="shared" si="21"/>
        <v>8850</v>
      </c>
      <c r="X28" s="51">
        <f t="shared" si="22"/>
        <v>4200</v>
      </c>
      <c r="Y28" s="51">
        <f t="shared" si="23"/>
        <v>1900</v>
      </c>
      <c r="Z28" s="51">
        <f t="shared" si="24"/>
        <v>300</v>
      </c>
      <c r="AA28" s="51">
        <f t="shared" si="25"/>
        <v>0</v>
      </c>
      <c r="AB28" s="51">
        <f t="shared" si="9"/>
        <v>1372.5</v>
      </c>
      <c r="AC28" s="51">
        <f t="shared" si="10"/>
        <v>576</v>
      </c>
      <c r="AD28" s="51">
        <f t="shared" si="11"/>
        <v>198</v>
      </c>
      <c r="AE28" s="51">
        <f t="shared" si="12"/>
        <v>27</v>
      </c>
      <c r="AF28" s="51">
        <f t="shared" si="13"/>
        <v>0</v>
      </c>
      <c r="AG28" s="51">
        <f t="shared" si="2"/>
        <v>7498.5</v>
      </c>
      <c r="AH28" s="51">
        <f t="shared" si="14"/>
        <v>3093.1312499999999</v>
      </c>
      <c r="AI28" s="51">
        <f t="shared" si="15"/>
        <v>4414.7418749999997</v>
      </c>
      <c r="AJ28" s="51">
        <f t="shared" si="16"/>
        <v>6183.4505625000002</v>
      </c>
      <c r="AK28" s="51">
        <f t="shared" si="26"/>
        <v>12981.142937499997</v>
      </c>
      <c r="AL28" s="51">
        <f>(AK28-(AM28+AN28+AO28+AP28+AQ28))-BE28</f>
        <v>1001.1429374999971</v>
      </c>
      <c r="AM28" s="20">
        <v>500</v>
      </c>
      <c r="AN28" s="20">
        <v>500</v>
      </c>
      <c r="AO28" s="20">
        <v>500</v>
      </c>
      <c r="AP28" s="20">
        <v>500</v>
      </c>
      <c r="AQ28" s="20">
        <v>0</v>
      </c>
      <c r="AR28" s="26" t="s">
        <v>82</v>
      </c>
      <c r="AS28" s="60">
        <f>(AS27-(H27+AB27+AX27))+12000</f>
        <v>11805.5</v>
      </c>
      <c r="AT28" s="61">
        <f>(AT27-(+I28+AC28+AY28))+6000</f>
        <v>5333</v>
      </c>
      <c r="AU28" s="61">
        <f>+(AU27-(J28+AD28+BA27))+4000</f>
        <v>3646</v>
      </c>
      <c r="AV28" s="53">
        <f t="shared" si="30"/>
        <v>572.5</v>
      </c>
      <c r="AW28" s="53">
        <f t="shared" si="31"/>
        <v>730</v>
      </c>
      <c r="AX28" s="20">
        <f t="shared" si="18"/>
        <v>100</v>
      </c>
      <c r="AY28" s="54">
        <f t="shared" si="19"/>
        <v>100</v>
      </c>
      <c r="AZ28" s="54">
        <f t="shared" si="19"/>
        <v>100</v>
      </c>
      <c r="BA28" s="54">
        <f t="shared" si="19"/>
        <v>100</v>
      </c>
      <c r="BB28" s="54">
        <f t="shared" si="19"/>
        <v>0</v>
      </c>
      <c r="BC28" s="51">
        <f t="shared" si="20"/>
        <v>400</v>
      </c>
      <c r="BD28" s="20">
        <f>6000+3000+2000</f>
        <v>11000</v>
      </c>
      <c r="BE28" s="57">
        <f>+BD28-BE27</f>
        <v>9980</v>
      </c>
      <c r="BF28" s="56"/>
      <c r="BG28" s="56"/>
    </row>
    <row r="29" spans="1:59" x14ac:dyDescent="0.25">
      <c r="A29" s="50">
        <v>28</v>
      </c>
      <c r="B29" s="51">
        <f t="shared" si="3"/>
        <v>35500</v>
      </c>
      <c r="C29" s="51">
        <f t="shared" ref="C29:C30" si="40">2000+2500+3000+3500+4500+6000</f>
        <v>21500</v>
      </c>
      <c r="D29" s="51">
        <f t="shared" ref="D29:D30" si="41">500+1000+1500+2000+3000</f>
        <v>8000</v>
      </c>
      <c r="E29" s="51">
        <f t="shared" ref="E29:E31" si="42">500+1000+2000</f>
        <v>3500</v>
      </c>
      <c r="F29" s="51">
        <v>500</v>
      </c>
      <c r="G29" s="51">
        <v>500</v>
      </c>
      <c r="H29" s="51">
        <f t="shared" si="0"/>
        <v>2580</v>
      </c>
      <c r="I29" s="51">
        <f t="shared" si="4"/>
        <v>720</v>
      </c>
      <c r="J29" s="51">
        <f t="shared" si="4"/>
        <v>315</v>
      </c>
      <c r="K29" s="51">
        <f t="shared" si="4"/>
        <v>45</v>
      </c>
      <c r="L29" s="51">
        <f t="shared" si="4"/>
        <v>45</v>
      </c>
      <c r="M29" s="51">
        <f t="shared" si="5"/>
        <v>14000</v>
      </c>
      <c r="N29" s="51">
        <f t="shared" si="5"/>
        <v>10500</v>
      </c>
      <c r="O29" s="51">
        <f t="shared" si="6"/>
        <v>4500</v>
      </c>
      <c r="P29" s="51">
        <f t="shared" si="6"/>
        <v>3500</v>
      </c>
      <c r="Q29" s="51">
        <f t="shared" si="6"/>
        <v>0</v>
      </c>
      <c r="R29" s="51">
        <f t="shared" si="7"/>
        <v>1260</v>
      </c>
      <c r="S29" s="51">
        <f t="shared" si="8"/>
        <v>945</v>
      </c>
      <c r="T29" s="51">
        <f t="shared" si="8"/>
        <v>405</v>
      </c>
      <c r="U29" s="51">
        <f t="shared" si="8"/>
        <v>315</v>
      </c>
      <c r="V29" s="51">
        <f t="shared" si="8"/>
        <v>0</v>
      </c>
      <c r="W29" s="51">
        <f t="shared" si="21"/>
        <v>9500</v>
      </c>
      <c r="X29" s="51">
        <f t="shared" si="22"/>
        <v>4700</v>
      </c>
      <c r="Y29" s="51">
        <f t="shared" si="23"/>
        <v>2200</v>
      </c>
      <c r="Z29" s="51">
        <f t="shared" si="24"/>
        <v>350</v>
      </c>
      <c r="AA29" s="51">
        <f t="shared" si="25"/>
        <v>0</v>
      </c>
      <c r="AB29" s="51">
        <f t="shared" si="9"/>
        <v>1507.5</v>
      </c>
      <c r="AC29" s="51">
        <f t="shared" si="10"/>
        <v>652.5</v>
      </c>
      <c r="AD29" s="51">
        <f t="shared" si="11"/>
        <v>229.5</v>
      </c>
      <c r="AE29" s="51">
        <f t="shared" si="12"/>
        <v>31.5</v>
      </c>
      <c r="AF29" s="51">
        <f t="shared" si="13"/>
        <v>0</v>
      </c>
      <c r="AG29" s="51">
        <f t="shared" si="2"/>
        <v>7926</v>
      </c>
      <c r="AH29" s="51">
        <f t="shared" si="14"/>
        <v>3269.4749999999999</v>
      </c>
      <c r="AI29" s="51">
        <f t="shared" si="15"/>
        <v>4666.4324999999999</v>
      </c>
      <c r="AJ29" s="51">
        <f t="shared" si="16"/>
        <v>6535.97775</v>
      </c>
      <c r="AK29" s="51">
        <f t="shared" si="26"/>
        <v>7537.1206874999971</v>
      </c>
      <c r="AL29" s="51">
        <f t="shared" si="27"/>
        <v>37.120687499997075</v>
      </c>
      <c r="AM29" s="20">
        <v>500</v>
      </c>
      <c r="AN29" s="20">
        <v>500</v>
      </c>
      <c r="AO29" s="20">
        <v>500</v>
      </c>
      <c r="AP29" s="20">
        <v>500</v>
      </c>
      <c r="AQ29" s="20">
        <v>5500</v>
      </c>
      <c r="AR29" s="26" t="s">
        <v>83</v>
      </c>
      <c r="AS29" s="52">
        <f>AS28-(H28+AB28+AX28)</f>
        <v>7753</v>
      </c>
      <c r="AT29" s="53">
        <f t="shared" si="28"/>
        <v>3860.5</v>
      </c>
      <c r="AU29" s="53">
        <f t="shared" si="29"/>
        <v>3001.5</v>
      </c>
      <c r="AV29" s="53">
        <f t="shared" si="30"/>
        <v>500.5</v>
      </c>
      <c r="AW29" s="53">
        <f t="shared" si="31"/>
        <v>685</v>
      </c>
      <c r="AX29" s="20">
        <f t="shared" si="18"/>
        <v>100</v>
      </c>
      <c r="AY29" s="54">
        <f t="shared" si="19"/>
        <v>100</v>
      </c>
      <c r="AZ29" s="54">
        <f t="shared" si="19"/>
        <v>100</v>
      </c>
      <c r="BA29" s="54">
        <f t="shared" si="19"/>
        <v>100</v>
      </c>
      <c r="BB29" s="54">
        <f t="shared" si="19"/>
        <v>1100</v>
      </c>
      <c r="BC29" s="51">
        <f t="shared" si="20"/>
        <v>1500</v>
      </c>
      <c r="BD29" s="20">
        <f>+BC28+BC29</f>
        <v>1900</v>
      </c>
      <c r="BE29" s="55">
        <f>+BD29*0.85</f>
        <v>1615</v>
      </c>
      <c r="BF29" s="56"/>
      <c r="BG29" s="56"/>
    </row>
    <row r="30" spans="1:59" x14ac:dyDescent="0.25">
      <c r="A30" s="50">
        <v>29</v>
      </c>
      <c r="B30" s="51">
        <f t="shared" si="3"/>
        <v>36000</v>
      </c>
      <c r="C30" s="51">
        <f t="shared" si="40"/>
        <v>21500</v>
      </c>
      <c r="D30" s="51">
        <f t="shared" si="41"/>
        <v>8000</v>
      </c>
      <c r="E30" s="51">
        <f t="shared" si="42"/>
        <v>3500</v>
      </c>
      <c r="F30" s="59">
        <f>500+2000</f>
        <v>2500</v>
      </c>
      <c r="G30" s="59">
        <f>500+2000</f>
        <v>2500</v>
      </c>
      <c r="H30" s="51">
        <f t="shared" si="0"/>
        <v>2580</v>
      </c>
      <c r="I30" s="51">
        <f t="shared" si="4"/>
        <v>720</v>
      </c>
      <c r="J30" s="51">
        <f t="shared" si="4"/>
        <v>315</v>
      </c>
      <c r="K30" s="51">
        <f t="shared" si="4"/>
        <v>225</v>
      </c>
      <c r="L30" s="51">
        <f t="shared" si="4"/>
        <v>225</v>
      </c>
      <c r="M30" s="51">
        <f t="shared" si="5"/>
        <v>14500</v>
      </c>
      <c r="N30" s="51">
        <f t="shared" si="5"/>
        <v>11000</v>
      </c>
      <c r="O30" s="51">
        <f t="shared" si="6"/>
        <v>5000</v>
      </c>
      <c r="P30" s="51">
        <f t="shared" si="6"/>
        <v>4000</v>
      </c>
      <c r="Q30" s="51">
        <f t="shared" si="6"/>
        <v>5500</v>
      </c>
      <c r="R30" s="51">
        <f t="shared" si="7"/>
        <v>1305</v>
      </c>
      <c r="S30" s="51">
        <f t="shared" si="8"/>
        <v>990</v>
      </c>
      <c r="T30" s="51">
        <f t="shared" si="8"/>
        <v>450</v>
      </c>
      <c r="U30" s="51">
        <f t="shared" si="8"/>
        <v>360</v>
      </c>
      <c r="V30" s="51">
        <f t="shared" si="8"/>
        <v>495</v>
      </c>
      <c r="W30" s="51">
        <f t="shared" si="21"/>
        <v>11250</v>
      </c>
      <c r="X30" s="51">
        <f t="shared" si="22"/>
        <v>6850</v>
      </c>
      <c r="Y30" s="51">
        <f t="shared" si="23"/>
        <v>4700</v>
      </c>
      <c r="Z30" s="51">
        <f t="shared" si="24"/>
        <v>3150</v>
      </c>
      <c r="AA30" s="51">
        <f t="shared" si="25"/>
        <v>550</v>
      </c>
      <c r="AB30" s="51">
        <f t="shared" si="9"/>
        <v>2385</v>
      </c>
      <c r="AC30" s="51">
        <f t="shared" si="10"/>
        <v>1372.5</v>
      </c>
      <c r="AD30" s="51">
        <f t="shared" si="11"/>
        <v>756</v>
      </c>
      <c r="AE30" s="51">
        <f t="shared" si="12"/>
        <v>333</v>
      </c>
      <c r="AF30" s="51">
        <f t="shared" si="13"/>
        <v>49.5</v>
      </c>
      <c r="AG30" s="51">
        <f t="shared" si="2"/>
        <v>11026.5</v>
      </c>
      <c r="AH30" s="51">
        <f t="shared" si="14"/>
        <v>4548.4312499999996</v>
      </c>
      <c r="AI30" s="51">
        <f t="shared" si="15"/>
        <v>6491.8518750000003</v>
      </c>
      <c r="AJ30" s="51">
        <f t="shared" si="16"/>
        <v>9092.7275625000002</v>
      </c>
      <c r="AK30" s="51">
        <f t="shared" si="26"/>
        <v>9129.8482499999973</v>
      </c>
      <c r="AL30" s="51">
        <f t="shared" ref="AL30:AL36" si="43">(AK30-(AM30+AN30+AO30+AP30+AQ30))-BE30</f>
        <v>244.84824999999728</v>
      </c>
      <c r="AM30" s="20">
        <v>500</v>
      </c>
      <c r="AN30" s="20">
        <v>500</v>
      </c>
      <c r="AO30" s="20">
        <v>500</v>
      </c>
      <c r="AP30" s="20">
        <v>500</v>
      </c>
      <c r="AQ30" s="20">
        <v>4500</v>
      </c>
      <c r="AR30" s="26" t="s">
        <v>84</v>
      </c>
      <c r="AS30" s="52">
        <f>AS29-(H29+AB29+AX29)</f>
        <v>3565.5</v>
      </c>
      <c r="AT30" s="53">
        <f t="shared" si="28"/>
        <v>1668</v>
      </c>
      <c r="AU30" s="53">
        <f t="shared" si="29"/>
        <v>1830.5</v>
      </c>
      <c r="AV30" s="61">
        <f>(+AV29-(K29+AE29+BB29))+4000</f>
        <v>3324</v>
      </c>
      <c r="AW30" s="61">
        <f>+(AW29-(L29+AF29+BB29))+4000</f>
        <v>3540</v>
      </c>
      <c r="AX30" s="20">
        <f t="shared" si="18"/>
        <v>100</v>
      </c>
      <c r="AY30" s="54">
        <f t="shared" si="19"/>
        <v>100</v>
      </c>
      <c r="AZ30" s="54">
        <f t="shared" si="19"/>
        <v>100</v>
      </c>
      <c r="BA30" s="54">
        <f t="shared" si="19"/>
        <v>100</v>
      </c>
      <c r="BB30" s="54">
        <f t="shared" si="19"/>
        <v>900</v>
      </c>
      <c r="BC30" s="51">
        <f t="shared" si="20"/>
        <v>1300</v>
      </c>
      <c r="BD30" s="20">
        <f>2000+2000</f>
        <v>4000</v>
      </c>
      <c r="BE30" s="57">
        <f>+BD30-BE29</f>
        <v>2385</v>
      </c>
      <c r="BF30" s="58">
        <f t="shared" ref="BF30:BF35" si="44">+BC30</f>
        <v>1300</v>
      </c>
      <c r="BG30" s="56">
        <f t="shared" ref="BG30:BG35" si="45">+BF30*0.85</f>
        <v>1105</v>
      </c>
    </row>
    <row r="31" spans="1:59" x14ac:dyDescent="0.25">
      <c r="A31" s="50">
        <v>30</v>
      </c>
      <c r="B31" s="51">
        <f t="shared" si="3"/>
        <v>44500</v>
      </c>
      <c r="C31" s="59">
        <f>2000+2500+3000+3500+4500+6000+8000</f>
        <v>29500</v>
      </c>
      <c r="D31" s="59">
        <f>500+1000+1500+2000+3000+4000</f>
        <v>12000</v>
      </c>
      <c r="E31" s="51">
        <f t="shared" si="42"/>
        <v>3500</v>
      </c>
      <c r="F31" s="51">
        <f t="shared" ref="F31:G33" si="46">500+2000</f>
        <v>2500</v>
      </c>
      <c r="G31" s="51">
        <f t="shared" si="46"/>
        <v>2500</v>
      </c>
      <c r="H31" s="51">
        <f t="shared" si="0"/>
        <v>3540</v>
      </c>
      <c r="I31" s="51">
        <f t="shared" si="4"/>
        <v>1080</v>
      </c>
      <c r="J31" s="51">
        <f t="shared" si="4"/>
        <v>315</v>
      </c>
      <c r="K31" s="51">
        <f t="shared" si="4"/>
        <v>225</v>
      </c>
      <c r="L31" s="51">
        <f t="shared" si="4"/>
        <v>225</v>
      </c>
      <c r="M31" s="51">
        <f t="shared" si="5"/>
        <v>15000</v>
      </c>
      <c r="N31" s="51">
        <f t="shared" si="5"/>
        <v>11500</v>
      </c>
      <c r="O31" s="51">
        <f t="shared" si="6"/>
        <v>5500</v>
      </c>
      <c r="P31" s="51">
        <f t="shared" si="6"/>
        <v>4500</v>
      </c>
      <c r="Q31" s="51">
        <f t="shared" si="6"/>
        <v>10000</v>
      </c>
      <c r="R31" s="51">
        <f t="shared" si="7"/>
        <v>1350</v>
      </c>
      <c r="S31" s="51">
        <f t="shared" si="8"/>
        <v>1035</v>
      </c>
      <c r="T31" s="51">
        <f t="shared" si="8"/>
        <v>495</v>
      </c>
      <c r="U31" s="51">
        <f t="shared" si="8"/>
        <v>405</v>
      </c>
      <c r="V31" s="51">
        <f t="shared" si="8"/>
        <v>900</v>
      </c>
      <c r="W31" s="51">
        <f t="shared" si="21"/>
        <v>12800</v>
      </c>
      <c r="X31" s="51">
        <f t="shared" si="22"/>
        <v>8700</v>
      </c>
      <c r="Y31" s="51">
        <f t="shared" si="23"/>
        <v>6800</v>
      </c>
      <c r="Z31" s="51">
        <f t="shared" si="24"/>
        <v>5450</v>
      </c>
      <c r="AA31" s="51">
        <f t="shared" si="25"/>
        <v>1000</v>
      </c>
      <c r="AB31" s="51">
        <f t="shared" si="9"/>
        <v>3127.5</v>
      </c>
      <c r="AC31" s="51">
        <f t="shared" si="10"/>
        <v>1975.5</v>
      </c>
      <c r="AD31" s="51">
        <f t="shared" si="11"/>
        <v>1192.5</v>
      </c>
      <c r="AE31" s="51">
        <f t="shared" si="12"/>
        <v>580.5</v>
      </c>
      <c r="AF31" s="51">
        <f t="shared" si="13"/>
        <v>90</v>
      </c>
      <c r="AG31" s="51">
        <f t="shared" si="2"/>
        <v>14601</v>
      </c>
      <c r="AH31" s="51">
        <f t="shared" si="14"/>
        <v>6022.9124999999995</v>
      </c>
      <c r="AI31" s="51">
        <f t="shared" si="15"/>
        <v>8596.3387500000008</v>
      </c>
      <c r="AJ31" s="51">
        <f t="shared" si="16"/>
        <v>12040.349624999999</v>
      </c>
      <c r="AK31" s="51">
        <f t="shared" si="26"/>
        <v>12285.197874999996</v>
      </c>
      <c r="AL31" s="51">
        <f t="shared" si="43"/>
        <v>170.1978749999962</v>
      </c>
      <c r="AM31" s="20">
        <v>500</v>
      </c>
      <c r="AN31" s="20">
        <v>500</v>
      </c>
      <c r="AO31" s="20">
        <v>500</v>
      </c>
      <c r="AP31" s="20">
        <v>500</v>
      </c>
      <c r="AQ31" s="20">
        <v>500</v>
      </c>
      <c r="AR31" s="26" t="s">
        <v>85</v>
      </c>
      <c r="AS31" s="60">
        <f>(AS30-(H30+AB30+AX30))+16000</f>
        <v>14500.5</v>
      </c>
      <c r="AT31" s="61">
        <f>(AT30-(+I31+AC31+AY31))+8000</f>
        <v>6512.5</v>
      </c>
      <c r="AU31" s="53">
        <f t="shared" si="29"/>
        <v>223</v>
      </c>
      <c r="AV31" s="53">
        <f t="shared" si="30"/>
        <v>1866</v>
      </c>
      <c r="AW31" s="53">
        <f t="shared" si="31"/>
        <v>2365.5</v>
      </c>
      <c r="AX31" s="20">
        <f t="shared" si="18"/>
        <v>100</v>
      </c>
      <c r="AY31" s="54">
        <f t="shared" si="19"/>
        <v>100</v>
      </c>
      <c r="AZ31" s="54">
        <f t="shared" si="19"/>
        <v>100</v>
      </c>
      <c r="BA31" s="54">
        <f t="shared" si="19"/>
        <v>100</v>
      </c>
      <c r="BB31" s="54">
        <f t="shared" si="19"/>
        <v>100</v>
      </c>
      <c r="BC31" s="51">
        <f t="shared" si="20"/>
        <v>500</v>
      </c>
      <c r="BD31" s="20">
        <f>8000+4000</f>
        <v>12000</v>
      </c>
      <c r="BE31" s="57">
        <f>+BD31-BE30</f>
        <v>9615</v>
      </c>
      <c r="BF31" s="58">
        <f t="shared" si="44"/>
        <v>500</v>
      </c>
      <c r="BG31" s="56">
        <f t="shared" si="45"/>
        <v>425</v>
      </c>
    </row>
    <row r="32" spans="1:59" x14ac:dyDescent="0.25">
      <c r="A32" s="50">
        <v>31</v>
      </c>
      <c r="B32" s="51">
        <f t="shared" si="3"/>
        <v>45000</v>
      </c>
      <c r="C32" s="51">
        <f t="shared" ref="C32:C33" si="47">2000+2500+3000+3500+4500+6000+8000</f>
        <v>29500</v>
      </c>
      <c r="D32" s="51">
        <f t="shared" ref="D32" si="48">500+1000+1500+2000+3000+4000</f>
        <v>12000</v>
      </c>
      <c r="E32" s="59">
        <f>500+1000+2000+4000</f>
        <v>7500</v>
      </c>
      <c r="F32" s="51">
        <f t="shared" si="46"/>
        <v>2500</v>
      </c>
      <c r="G32" s="51">
        <f t="shared" si="46"/>
        <v>2500</v>
      </c>
      <c r="H32" s="51">
        <f t="shared" si="0"/>
        <v>3540</v>
      </c>
      <c r="I32" s="51">
        <f t="shared" si="4"/>
        <v>1080</v>
      </c>
      <c r="J32" s="51">
        <f t="shared" si="4"/>
        <v>675</v>
      </c>
      <c r="K32" s="51">
        <f t="shared" si="4"/>
        <v>225</v>
      </c>
      <c r="L32" s="51">
        <f t="shared" si="4"/>
        <v>225</v>
      </c>
      <c r="M32" s="51">
        <f t="shared" si="5"/>
        <v>15500</v>
      </c>
      <c r="N32" s="51">
        <f t="shared" si="5"/>
        <v>12000</v>
      </c>
      <c r="O32" s="51">
        <f t="shared" si="6"/>
        <v>6000</v>
      </c>
      <c r="P32" s="51">
        <f t="shared" si="6"/>
        <v>5000</v>
      </c>
      <c r="Q32" s="51">
        <f t="shared" si="6"/>
        <v>10500</v>
      </c>
      <c r="R32" s="51">
        <f t="shared" si="7"/>
        <v>1395</v>
      </c>
      <c r="S32" s="51">
        <f t="shared" si="8"/>
        <v>1080</v>
      </c>
      <c r="T32" s="51">
        <f t="shared" si="8"/>
        <v>540</v>
      </c>
      <c r="U32" s="51">
        <f t="shared" si="8"/>
        <v>450</v>
      </c>
      <c r="V32" s="51">
        <f t="shared" si="8"/>
        <v>945</v>
      </c>
      <c r="W32" s="51">
        <f t="shared" si="21"/>
        <v>13550</v>
      </c>
      <c r="X32" s="51">
        <f t="shared" si="22"/>
        <v>9350</v>
      </c>
      <c r="Y32" s="51">
        <f t="shared" si="23"/>
        <v>7300</v>
      </c>
      <c r="Z32" s="51">
        <f t="shared" si="24"/>
        <v>5750</v>
      </c>
      <c r="AA32" s="51">
        <f t="shared" si="25"/>
        <v>1050</v>
      </c>
      <c r="AB32" s="51">
        <f t="shared" si="9"/>
        <v>3330</v>
      </c>
      <c r="AC32" s="51">
        <f t="shared" si="10"/>
        <v>2110.5</v>
      </c>
      <c r="AD32" s="51">
        <f t="shared" si="11"/>
        <v>1269</v>
      </c>
      <c r="AE32" s="51">
        <f t="shared" si="12"/>
        <v>612</v>
      </c>
      <c r="AF32" s="51">
        <f t="shared" si="13"/>
        <v>94.5</v>
      </c>
      <c r="AG32" s="51">
        <f t="shared" si="2"/>
        <v>15271.5</v>
      </c>
      <c r="AH32" s="51">
        <f t="shared" si="14"/>
        <v>6299.4937499999996</v>
      </c>
      <c r="AI32" s="51">
        <f t="shared" si="15"/>
        <v>8991.0956249999999</v>
      </c>
      <c r="AJ32" s="51">
        <f t="shared" si="16"/>
        <v>12593.260687499998</v>
      </c>
      <c r="AK32" s="51">
        <f t="shared" si="26"/>
        <v>12763.458562499995</v>
      </c>
      <c r="AL32" s="51">
        <f t="shared" si="43"/>
        <v>188.45856249999451</v>
      </c>
      <c r="AM32" s="20">
        <v>500</v>
      </c>
      <c r="AN32" s="20">
        <v>500</v>
      </c>
      <c r="AO32" s="20">
        <v>500</v>
      </c>
      <c r="AP32" s="20">
        <v>500</v>
      </c>
      <c r="AQ32" s="20">
        <v>7000</v>
      </c>
      <c r="AR32" s="26" t="s">
        <v>86</v>
      </c>
      <c r="AS32" s="52">
        <f>AS31-(H31+AB31+AX31)</f>
        <v>7733</v>
      </c>
      <c r="AT32" s="53">
        <f t="shared" si="28"/>
        <v>3222</v>
      </c>
      <c r="AU32" s="61">
        <f>+(AU31-(J32+AD32+BA31))+8000</f>
        <v>6179</v>
      </c>
      <c r="AV32" s="53">
        <f t="shared" si="30"/>
        <v>960.5</v>
      </c>
      <c r="AW32" s="53">
        <f t="shared" si="31"/>
        <v>1950.5</v>
      </c>
      <c r="AX32" s="20">
        <f t="shared" si="18"/>
        <v>100</v>
      </c>
      <c r="AY32" s="54">
        <f t="shared" si="19"/>
        <v>100</v>
      </c>
      <c r="AZ32" s="54">
        <f t="shared" si="19"/>
        <v>100</v>
      </c>
      <c r="BA32" s="54">
        <f t="shared" si="19"/>
        <v>100</v>
      </c>
      <c r="BB32" s="54">
        <f t="shared" si="19"/>
        <v>1400</v>
      </c>
      <c r="BC32" s="51">
        <f t="shared" si="20"/>
        <v>1800</v>
      </c>
      <c r="BD32" s="20">
        <v>4000</v>
      </c>
      <c r="BE32" s="57">
        <f>+BD32-BG31</f>
        <v>3575</v>
      </c>
      <c r="BF32" s="58">
        <f t="shared" si="44"/>
        <v>1800</v>
      </c>
      <c r="BG32" s="56">
        <f t="shared" si="45"/>
        <v>1530</v>
      </c>
    </row>
    <row r="33" spans="1:59" x14ac:dyDescent="0.25">
      <c r="A33" s="50">
        <v>32</v>
      </c>
      <c r="B33" s="51">
        <f t="shared" si="3"/>
        <v>45500</v>
      </c>
      <c r="C33" s="51">
        <f t="shared" si="47"/>
        <v>29500</v>
      </c>
      <c r="D33" s="59">
        <f>500+1000+1500+2000+3000+4000+8000</f>
        <v>20000</v>
      </c>
      <c r="E33" s="51">
        <f t="shared" ref="E33:E34" si="49">500+1000+2000+4000</f>
        <v>7500</v>
      </c>
      <c r="F33" s="59">
        <f>500+2000+5000</f>
        <v>7500</v>
      </c>
      <c r="G33" s="51">
        <f t="shared" si="46"/>
        <v>2500</v>
      </c>
      <c r="H33" s="51">
        <f t="shared" si="0"/>
        <v>3540</v>
      </c>
      <c r="I33" s="51">
        <f t="shared" si="4"/>
        <v>1800</v>
      </c>
      <c r="J33" s="51">
        <f t="shared" si="4"/>
        <v>675</v>
      </c>
      <c r="K33" s="51">
        <f t="shared" si="4"/>
        <v>675</v>
      </c>
      <c r="L33" s="51">
        <f t="shared" si="4"/>
        <v>225</v>
      </c>
      <c r="M33" s="51">
        <f t="shared" si="5"/>
        <v>16000</v>
      </c>
      <c r="N33" s="51">
        <f t="shared" si="5"/>
        <v>12500</v>
      </c>
      <c r="O33" s="51">
        <f t="shared" si="6"/>
        <v>6500</v>
      </c>
      <c r="P33" s="51">
        <f t="shared" si="6"/>
        <v>5500</v>
      </c>
      <c r="Q33" s="51">
        <f t="shared" si="6"/>
        <v>17500</v>
      </c>
      <c r="R33" s="51">
        <f t="shared" si="7"/>
        <v>1440</v>
      </c>
      <c r="S33" s="51">
        <f t="shared" si="8"/>
        <v>1125</v>
      </c>
      <c r="T33" s="51">
        <f t="shared" si="8"/>
        <v>585</v>
      </c>
      <c r="U33" s="51">
        <f t="shared" si="8"/>
        <v>495</v>
      </c>
      <c r="V33" s="51">
        <f t="shared" si="8"/>
        <v>1575</v>
      </c>
      <c r="W33" s="51">
        <f t="shared" si="21"/>
        <v>15600</v>
      </c>
      <c r="X33" s="51">
        <f t="shared" si="22"/>
        <v>11950</v>
      </c>
      <c r="Y33" s="51">
        <f t="shared" si="23"/>
        <v>10400</v>
      </c>
      <c r="Z33" s="51">
        <f t="shared" si="24"/>
        <v>9300</v>
      </c>
      <c r="AA33" s="51">
        <f t="shared" si="25"/>
        <v>1750</v>
      </c>
      <c r="AB33" s="51">
        <f t="shared" si="9"/>
        <v>4410</v>
      </c>
      <c r="AC33" s="51">
        <f t="shared" si="10"/>
        <v>3006</v>
      </c>
      <c r="AD33" s="51">
        <f t="shared" si="11"/>
        <v>1930.5</v>
      </c>
      <c r="AE33" s="51">
        <f t="shared" si="12"/>
        <v>994.5</v>
      </c>
      <c r="AF33" s="51">
        <f t="shared" si="13"/>
        <v>157.5</v>
      </c>
      <c r="AG33" s="51">
        <f t="shared" si="2"/>
        <v>19101</v>
      </c>
      <c r="AH33" s="51">
        <f t="shared" si="14"/>
        <v>7879.1624999999995</v>
      </c>
      <c r="AI33" s="51">
        <f t="shared" si="15"/>
        <v>11245.713750000001</v>
      </c>
      <c r="AJ33" s="51">
        <f t="shared" si="16"/>
        <v>15751.162124999999</v>
      </c>
      <c r="AK33" s="51">
        <f t="shared" si="26"/>
        <v>15939.620687499993</v>
      </c>
      <c r="AL33" s="51">
        <f t="shared" si="43"/>
        <v>469.62068749999344</v>
      </c>
      <c r="AM33" s="20">
        <v>500</v>
      </c>
      <c r="AN33" s="20">
        <v>500</v>
      </c>
      <c r="AO33" s="20">
        <v>500</v>
      </c>
      <c r="AP33" s="20">
        <v>500</v>
      </c>
      <c r="AQ33" s="20">
        <v>2000</v>
      </c>
      <c r="AR33" s="26" t="s">
        <v>87</v>
      </c>
      <c r="AS33" s="52">
        <f>AS32-(H32+AB32+AX32)</f>
        <v>763</v>
      </c>
      <c r="AT33" s="61">
        <f>(AT32-(+I33+AC33+AY33))+16000</f>
        <v>14316</v>
      </c>
      <c r="AU33" s="53">
        <f t="shared" si="29"/>
        <v>3473.5</v>
      </c>
      <c r="AV33" s="61">
        <f>+(AV32-(K32+AE32+BB32))+10000</f>
        <v>8723.5</v>
      </c>
      <c r="AW33" s="53">
        <f t="shared" si="31"/>
        <v>231</v>
      </c>
      <c r="AX33" s="20">
        <f t="shared" si="18"/>
        <v>100</v>
      </c>
      <c r="AY33" s="54">
        <f t="shared" si="19"/>
        <v>100</v>
      </c>
      <c r="AZ33" s="54">
        <f t="shared" si="19"/>
        <v>100</v>
      </c>
      <c r="BA33" s="54">
        <f t="shared" si="19"/>
        <v>100</v>
      </c>
      <c r="BB33" s="54">
        <f t="shared" si="19"/>
        <v>400</v>
      </c>
      <c r="BC33" s="51">
        <f t="shared" si="20"/>
        <v>800</v>
      </c>
      <c r="BD33" s="20">
        <f>8000+5000</f>
        <v>13000</v>
      </c>
      <c r="BE33" s="57">
        <f>+BD33-BG32</f>
        <v>11470</v>
      </c>
      <c r="BF33" s="58">
        <f t="shared" si="44"/>
        <v>800</v>
      </c>
      <c r="BG33" s="56">
        <f t="shared" si="45"/>
        <v>680</v>
      </c>
    </row>
    <row r="34" spans="1:59" x14ac:dyDescent="0.25">
      <c r="A34" s="50">
        <v>33</v>
      </c>
      <c r="B34" s="51">
        <f t="shared" si="3"/>
        <v>56000</v>
      </c>
      <c r="C34" s="59">
        <f>2000+2500+3000+3500+4500+6000+8000+10000</f>
        <v>39500</v>
      </c>
      <c r="D34" s="51">
        <f t="shared" ref="D34:D35" si="50">500+1000+1500+2000+3000+4000+8000</f>
        <v>20000</v>
      </c>
      <c r="E34" s="51">
        <f t="shared" si="49"/>
        <v>7500</v>
      </c>
      <c r="F34" s="51">
        <f t="shared" ref="F34:F35" si="51">500+2000+5000</f>
        <v>7500</v>
      </c>
      <c r="G34" s="59">
        <f>500+2000+4000</f>
        <v>6500</v>
      </c>
      <c r="H34" s="51">
        <f t="shared" si="0"/>
        <v>4740</v>
      </c>
      <c r="I34" s="51">
        <f t="shared" si="4"/>
        <v>1800</v>
      </c>
      <c r="J34" s="51">
        <f t="shared" si="4"/>
        <v>675</v>
      </c>
      <c r="K34" s="51">
        <f t="shared" si="4"/>
        <v>675</v>
      </c>
      <c r="L34" s="51">
        <f t="shared" si="4"/>
        <v>585</v>
      </c>
      <c r="M34" s="51">
        <f t="shared" si="5"/>
        <v>16500</v>
      </c>
      <c r="N34" s="51">
        <f t="shared" si="5"/>
        <v>13000</v>
      </c>
      <c r="O34" s="51">
        <f t="shared" si="6"/>
        <v>7000</v>
      </c>
      <c r="P34" s="51">
        <f t="shared" si="6"/>
        <v>6000</v>
      </c>
      <c r="Q34" s="51">
        <f t="shared" si="6"/>
        <v>19500</v>
      </c>
      <c r="R34" s="51">
        <f t="shared" si="7"/>
        <v>1485</v>
      </c>
      <c r="S34" s="51">
        <f t="shared" si="8"/>
        <v>1170</v>
      </c>
      <c r="T34" s="51">
        <f t="shared" si="8"/>
        <v>630</v>
      </c>
      <c r="U34" s="51">
        <f t="shared" si="8"/>
        <v>540</v>
      </c>
      <c r="V34" s="51">
        <f t="shared" si="8"/>
        <v>1755</v>
      </c>
      <c r="W34" s="51">
        <f t="shared" si="21"/>
        <v>16650</v>
      </c>
      <c r="X34" s="51">
        <f t="shared" si="22"/>
        <v>13050</v>
      </c>
      <c r="Y34" s="51">
        <f t="shared" si="23"/>
        <v>11500</v>
      </c>
      <c r="Z34" s="51">
        <f t="shared" si="24"/>
        <v>10350</v>
      </c>
      <c r="AA34" s="51">
        <f t="shared" si="25"/>
        <v>1950</v>
      </c>
      <c r="AB34" s="51">
        <f t="shared" si="9"/>
        <v>4815</v>
      </c>
      <c r="AC34" s="51">
        <f t="shared" si="10"/>
        <v>3316.5</v>
      </c>
      <c r="AD34" s="51">
        <f t="shared" si="11"/>
        <v>2142</v>
      </c>
      <c r="AE34" s="51">
        <f t="shared" si="12"/>
        <v>1107</v>
      </c>
      <c r="AF34" s="51">
        <f t="shared" si="13"/>
        <v>175.5</v>
      </c>
      <c r="AG34" s="51">
        <f t="shared" si="2"/>
        <v>21700.5</v>
      </c>
      <c r="AH34" s="51">
        <f t="shared" si="14"/>
        <v>8951.4562499999993</v>
      </c>
      <c r="AI34" s="51">
        <f t="shared" si="15"/>
        <v>12776.169374999999</v>
      </c>
      <c r="AJ34" s="51">
        <f t="shared" si="16"/>
        <v>17894.7748125</v>
      </c>
      <c r="AK34" s="51">
        <f t="shared" si="26"/>
        <v>18364.395499999991</v>
      </c>
      <c r="AL34" s="51">
        <f t="shared" si="43"/>
        <v>44.395499999991443</v>
      </c>
      <c r="AM34" s="20">
        <v>500</v>
      </c>
      <c r="AN34" s="20">
        <v>500</v>
      </c>
      <c r="AO34" s="20">
        <v>500</v>
      </c>
      <c r="AP34" s="20">
        <v>500</v>
      </c>
      <c r="AQ34" s="20">
        <v>3000</v>
      </c>
      <c r="AR34" s="26" t="s">
        <v>88</v>
      </c>
      <c r="AS34" s="60">
        <f>(AS33-(H33+AB33+AX33))+20000</f>
        <v>12713</v>
      </c>
      <c r="AT34" s="53">
        <f t="shared" si="28"/>
        <v>9099.5</v>
      </c>
      <c r="AU34" s="53">
        <f t="shared" si="29"/>
        <v>556.5</v>
      </c>
      <c r="AV34" s="53">
        <f t="shared" si="30"/>
        <v>6654</v>
      </c>
      <c r="AW34" s="61">
        <f>+(AW33-(L33+AF33+BB33))+8000</f>
        <v>7448.5</v>
      </c>
      <c r="AX34" s="20">
        <f t="shared" si="18"/>
        <v>100</v>
      </c>
      <c r="AY34" s="54">
        <f t="shared" si="19"/>
        <v>100</v>
      </c>
      <c r="AZ34" s="54">
        <f t="shared" si="19"/>
        <v>100</v>
      </c>
      <c r="BA34" s="54">
        <f t="shared" si="19"/>
        <v>100</v>
      </c>
      <c r="BB34" s="54">
        <f t="shared" si="19"/>
        <v>600</v>
      </c>
      <c r="BC34" s="51">
        <f t="shared" si="20"/>
        <v>1000</v>
      </c>
      <c r="BD34" s="20">
        <f>10000+4000</f>
        <v>14000</v>
      </c>
      <c r="BE34" s="57">
        <f>+BD34-BG33</f>
        <v>13320</v>
      </c>
      <c r="BF34" s="58">
        <f t="shared" si="44"/>
        <v>1000</v>
      </c>
      <c r="BG34" s="56">
        <f t="shared" si="45"/>
        <v>850</v>
      </c>
    </row>
    <row r="35" spans="1:59" x14ac:dyDescent="0.25">
      <c r="A35" s="50">
        <v>34</v>
      </c>
      <c r="B35" s="51">
        <f t="shared" si="3"/>
        <v>56500</v>
      </c>
      <c r="C35" s="51">
        <f t="shared" ref="C35" si="52">2000+2500+3000+3500+4500+6000+8000+10000</f>
        <v>39500</v>
      </c>
      <c r="D35" s="51">
        <f t="shared" si="50"/>
        <v>20000</v>
      </c>
      <c r="E35" s="59">
        <f>500+1000+2000+4000+8000</f>
        <v>15500</v>
      </c>
      <c r="F35" s="51">
        <f t="shared" si="51"/>
        <v>7500</v>
      </c>
      <c r="G35" s="51">
        <f t="shared" ref="G35:G37" si="53">500+2000+4000</f>
        <v>6500</v>
      </c>
      <c r="H35" s="51">
        <f t="shared" si="0"/>
        <v>4740</v>
      </c>
      <c r="I35" s="51">
        <f t="shared" si="4"/>
        <v>1800</v>
      </c>
      <c r="J35" s="51">
        <f t="shared" si="4"/>
        <v>1395</v>
      </c>
      <c r="K35" s="51">
        <f t="shared" si="4"/>
        <v>675</v>
      </c>
      <c r="L35" s="51">
        <f t="shared" si="4"/>
        <v>585</v>
      </c>
      <c r="M35" s="51">
        <f t="shared" si="5"/>
        <v>17000</v>
      </c>
      <c r="N35" s="51">
        <f t="shared" si="5"/>
        <v>13500</v>
      </c>
      <c r="O35" s="51">
        <f t="shared" si="6"/>
        <v>7500</v>
      </c>
      <c r="P35" s="51">
        <f t="shared" si="6"/>
        <v>6500</v>
      </c>
      <c r="Q35" s="51">
        <f t="shared" si="6"/>
        <v>22500</v>
      </c>
      <c r="R35" s="51">
        <f t="shared" si="7"/>
        <v>1530</v>
      </c>
      <c r="S35" s="51">
        <f t="shared" si="8"/>
        <v>1215</v>
      </c>
      <c r="T35" s="51">
        <f t="shared" si="8"/>
        <v>675</v>
      </c>
      <c r="U35" s="51">
        <f t="shared" si="8"/>
        <v>585</v>
      </c>
      <c r="V35" s="51">
        <f t="shared" si="8"/>
        <v>2025</v>
      </c>
      <c r="W35" s="51">
        <f t="shared" si="21"/>
        <v>17900</v>
      </c>
      <c r="X35" s="51">
        <f t="shared" si="22"/>
        <v>14450</v>
      </c>
      <c r="Y35" s="51">
        <f t="shared" si="23"/>
        <v>13000</v>
      </c>
      <c r="Z35" s="51">
        <f t="shared" si="24"/>
        <v>11900</v>
      </c>
      <c r="AA35" s="51">
        <f t="shared" si="25"/>
        <v>2250</v>
      </c>
      <c r="AB35" s="51">
        <f t="shared" si="9"/>
        <v>5355</v>
      </c>
      <c r="AC35" s="51">
        <f t="shared" si="10"/>
        <v>3744</v>
      </c>
      <c r="AD35" s="51">
        <f t="shared" si="11"/>
        <v>2443.5</v>
      </c>
      <c r="AE35" s="51">
        <f t="shared" si="12"/>
        <v>1273.5</v>
      </c>
      <c r="AF35" s="51">
        <f t="shared" si="13"/>
        <v>202.5</v>
      </c>
      <c r="AG35" s="51">
        <f t="shared" si="2"/>
        <v>23586</v>
      </c>
      <c r="AH35" s="51">
        <f t="shared" si="14"/>
        <v>9729.2250000000004</v>
      </c>
      <c r="AI35" s="51">
        <f t="shared" si="15"/>
        <v>13886.257500000002</v>
      </c>
      <c r="AJ35" s="51">
        <f t="shared" si="16"/>
        <v>19449.605250000001</v>
      </c>
      <c r="AK35" s="51">
        <f t="shared" si="26"/>
        <v>19494.000749999992</v>
      </c>
      <c r="AL35" s="51">
        <f t="shared" si="43"/>
        <v>3344.000749999992</v>
      </c>
      <c r="AM35" s="20">
        <v>500</v>
      </c>
      <c r="AN35" s="20">
        <v>500</v>
      </c>
      <c r="AO35" s="20">
        <v>500</v>
      </c>
      <c r="AP35" s="20">
        <v>500</v>
      </c>
      <c r="AQ35" s="20">
        <v>7000</v>
      </c>
      <c r="AR35" s="26" t="s">
        <v>89</v>
      </c>
      <c r="AS35" s="52">
        <f>AS34-(H34+AB34+AX34)</f>
        <v>3058</v>
      </c>
      <c r="AT35" s="53">
        <f t="shared" si="28"/>
        <v>3455.5</v>
      </c>
      <c r="AU35" s="61">
        <f>+(AU34-(J35+AD35+BA34))+16000</f>
        <v>12618</v>
      </c>
      <c r="AV35" s="53">
        <f t="shared" si="30"/>
        <v>4272</v>
      </c>
      <c r="AW35" s="53">
        <f t="shared" si="31"/>
        <v>6088</v>
      </c>
      <c r="AX35" s="20">
        <f t="shared" si="18"/>
        <v>100</v>
      </c>
      <c r="AY35" s="54">
        <f t="shared" si="19"/>
        <v>100</v>
      </c>
      <c r="AZ35" s="54">
        <f t="shared" si="19"/>
        <v>100</v>
      </c>
      <c r="BA35" s="54">
        <f t="shared" si="19"/>
        <v>100</v>
      </c>
      <c r="BB35" s="54">
        <f t="shared" si="19"/>
        <v>1400</v>
      </c>
      <c r="BC35" s="51">
        <f t="shared" si="20"/>
        <v>1800</v>
      </c>
      <c r="BD35" s="20">
        <v>8000</v>
      </c>
      <c r="BE35" s="57">
        <f>+BD35-BG34</f>
        <v>7150</v>
      </c>
      <c r="BF35" s="58">
        <f t="shared" si="44"/>
        <v>1800</v>
      </c>
      <c r="BG35" s="56">
        <f t="shared" si="45"/>
        <v>1530</v>
      </c>
    </row>
    <row r="36" spans="1:59" x14ac:dyDescent="0.25">
      <c r="A36" s="50">
        <v>35</v>
      </c>
      <c r="B36" s="51">
        <f t="shared" si="3"/>
        <v>68000</v>
      </c>
      <c r="C36" s="59">
        <f>2000+2500+3000+3500+4500+6000+8000+10000+11000</f>
        <v>50500</v>
      </c>
      <c r="D36" s="59">
        <f>500+1000+1500+2000+3000+4000+8000+9000</f>
        <v>29000</v>
      </c>
      <c r="E36" s="51">
        <f t="shared" ref="E36:E37" si="54">500+1000+2000+4000+8000</f>
        <v>15500</v>
      </c>
      <c r="F36" s="59">
        <f>500+2000+5000+6000</f>
        <v>13500</v>
      </c>
      <c r="G36" s="51">
        <f t="shared" si="53"/>
        <v>6500</v>
      </c>
      <c r="H36" s="51">
        <f t="shared" si="0"/>
        <v>6060</v>
      </c>
      <c r="I36" s="51">
        <f t="shared" si="4"/>
        <v>2610</v>
      </c>
      <c r="J36" s="51">
        <f t="shared" si="4"/>
        <v>1395</v>
      </c>
      <c r="K36" s="51">
        <f t="shared" si="4"/>
        <v>1215</v>
      </c>
      <c r="L36" s="51">
        <f t="shared" si="4"/>
        <v>585</v>
      </c>
      <c r="M36" s="51">
        <f t="shared" si="5"/>
        <v>17500</v>
      </c>
      <c r="N36" s="51">
        <f t="shared" si="5"/>
        <v>14000</v>
      </c>
      <c r="O36" s="51">
        <f t="shared" si="6"/>
        <v>8000</v>
      </c>
      <c r="P36" s="51">
        <f t="shared" si="6"/>
        <v>7000</v>
      </c>
      <c r="Q36" s="51">
        <f t="shared" si="6"/>
        <v>29500</v>
      </c>
      <c r="R36" s="51">
        <f t="shared" si="7"/>
        <v>1575</v>
      </c>
      <c r="S36" s="51">
        <f t="shared" si="8"/>
        <v>1260</v>
      </c>
      <c r="T36" s="51">
        <f t="shared" si="8"/>
        <v>720</v>
      </c>
      <c r="U36" s="51">
        <f t="shared" si="8"/>
        <v>630</v>
      </c>
      <c r="V36" s="51">
        <f t="shared" si="8"/>
        <v>2655</v>
      </c>
      <c r="W36" s="51">
        <f t="shared" si="21"/>
        <v>19950</v>
      </c>
      <c r="X36" s="51">
        <f t="shared" si="22"/>
        <v>17050</v>
      </c>
      <c r="Y36" s="51">
        <f t="shared" si="23"/>
        <v>16100</v>
      </c>
      <c r="Z36" s="51">
        <f t="shared" si="24"/>
        <v>15450</v>
      </c>
      <c r="AA36" s="51">
        <f t="shared" si="25"/>
        <v>2950</v>
      </c>
      <c r="AB36" s="51">
        <f t="shared" si="9"/>
        <v>6435</v>
      </c>
      <c r="AC36" s="51">
        <f t="shared" si="10"/>
        <v>4639.5</v>
      </c>
      <c r="AD36" s="51">
        <f t="shared" si="11"/>
        <v>3105</v>
      </c>
      <c r="AE36" s="51">
        <f t="shared" si="12"/>
        <v>1656</v>
      </c>
      <c r="AF36" s="51">
        <f t="shared" si="13"/>
        <v>265.5</v>
      </c>
      <c r="AG36" s="51">
        <f t="shared" si="2"/>
        <v>28735.5</v>
      </c>
      <c r="AH36" s="51">
        <f t="shared" si="14"/>
        <v>11853.393749999999</v>
      </c>
      <c r="AI36" s="51">
        <f t="shared" si="15"/>
        <v>16918.025625000002</v>
      </c>
      <c r="AJ36" s="51">
        <f t="shared" si="16"/>
        <v>23696.011687500002</v>
      </c>
      <c r="AK36" s="51">
        <f t="shared" si="26"/>
        <v>27040.012437499994</v>
      </c>
      <c r="AL36" s="51">
        <f t="shared" si="43"/>
        <v>70.012437499994121</v>
      </c>
      <c r="AM36" s="20">
        <v>500</v>
      </c>
      <c r="AN36" s="20">
        <v>500</v>
      </c>
      <c r="AO36" s="20">
        <v>500</v>
      </c>
      <c r="AP36" s="20">
        <v>500</v>
      </c>
      <c r="AQ36" s="20">
        <v>500</v>
      </c>
      <c r="AR36" s="26" t="s">
        <v>90</v>
      </c>
      <c r="AS36" s="60">
        <f>(AS35-(H35+AB35+AX35))+22000</f>
        <v>14863</v>
      </c>
      <c r="AT36" s="61">
        <f>(AT35-(+I36+AC36+AY36))+18000</f>
        <v>14106</v>
      </c>
      <c r="AU36" s="53">
        <f t="shared" si="29"/>
        <v>8018</v>
      </c>
      <c r="AV36" s="61">
        <f>+(AV35-(K35+AE35+BB35))+12000</f>
        <v>12923.5</v>
      </c>
      <c r="AW36" s="53">
        <f t="shared" si="31"/>
        <v>3900.5</v>
      </c>
      <c r="AX36" s="20">
        <f t="shared" si="18"/>
        <v>100</v>
      </c>
      <c r="AY36" s="54">
        <f t="shared" si="19"/>
        <v>100</v>
      </c>
      <c r="AZ36" s="54">
        <f t="shared" si="19"/>
        <v>100</v>
      </c>
      <c r="BA36" s="54">
        <f t="shared" si="19"/>
        <v>100</v>
      </c>
      <c r="BB36" s="54">
        <f t="shared" si="19"/>
        <v>100</v>
      </c>
      <c r="BC36" s="51">
        <f t="shared" si="20"/>
        <v>500</v>
      </c>
      <c r="BD36" s="20">
        <f>11000+9000+6000</f>
        <v>26000</v>
      </c>
      <c r="BE36" s="57">
        <f>+BD36-BG35</f>
        <v>24470</v>
      </c>
      <c r="BF36" s="56"/>
      <c r="BG36" s="56"/>
    </row>
    <row r="37" spans="1:59" x14ac:dyDescent="0.25">
      <c r="A37" s="50">
        <v>36</v>
      </c>
      <c r="B37" s="51">
        <f t="shared" si="3"/>
        <v>68500</v>
      </c>
      <c r="C37" s="51">
        <f>2000+2500+3000+3500+4500+6000+8000+10000+11000</f>
        <v>50500</v>
      </c>
      <c r="D37" s="51">
        <f>500+1000+1500+2000+3000+4000+8000+9000</f>
        <v>29000</v>
      </c>
      <c r="E37" s="51">
        <f t="shared" si="54"/>
        <v>15500</v>
      </c>
      <c r="F37" s="51">
        <f>500+2000+5000+6000</f>
        <v>13500</v>
      </c>
      <c r="G37" s="51">
        <f t="shared" si="53"/>
        <v>6500</v>
      </c>
      <c r="H37" s="51">
        <f t="shared" si="0"/>
        <v>6060</v>
      </c>
      <c r="I37" s="51">
        <f t="shared" si="4"/>
        <v>2610</v>
      </c>
      <c r="J37" s="51">
        <f t="shared" si="4"/>
        <v>1395</v>
      </c>
      <c r="K37" s="51">
        <f t="shared" si="4"/>
        <v>1215</v>
      </c>
      <c r="L37" s="51">
        <f t="shared" si="4"/>
        <v>585</v>
      </c>
      <c r="M37" s="51">
        <f t="shared" si="5"/>
        <v>18000</v>
      </c>
      <c r="N37" s="51">
        <f t="shared" si="5"/>
        <v>14500</v>
      </c>
      <c r="O37" s="51">
        <f t="shared" si="6"/>
        <v>8500</v>
      </c>
      <c r="P37" s="51">
        <f t="shared" si="6"/>
        <v>7500</v>
      </c>
      <c r="Q37" s="51">
        <f t="shared" si="6"/>
        <v>30000</v>
      </c>
      <c r="R37" s="51">
        <f t="shared" si="7"/>
        <v>1620</v>
      </c>
      <c r="S37" s="51">
        <f t="shared" si="8"/>
        <v>1305</v>
      </c>
      <c r="T37" s="51">
        <f t="shared" si="8"/>
        <v>765</v>
      </c>
      <c r="U37" s="51">
        <f t="shared" si="8"/>
        <v>675</v>
      </c>
      <c r="V37" s="51">
        <f t="shared" si="8"/>
        <v>2700</v>
      </c>
      <c r="W37" s="51">
        <f t="shared" si="21"/>
        <v>20700</v>
      </c>
      <c r="X37" s="51">
        <f t="shared" si="22"/>
        <v>17700</v>
      </c>
      <c r="Y37" s="51">
        <f t="shared" si="23"/>
        <v>16600</v>
      </c>
      <c r="Z37" s="51">
        <f t="shared" si="24"/>
        <v>15750</v>
      </c>
      <c r="AA37" s="51">
        <f t="shared" si="25"/>
        <v>3000</v>
      </c>
      <c r="AB37" s="51">
        <f t="shared" si="9"/>
        <v>6637.5</v>
      </c>
      <c r="AC37" s="51">
        <f t="shared" si="10"/>
        <v>4774.5</v>
      </c>
      <c r="AD37" s="51">
        <f t="shared" si="11"/>
        <v>3181.5</v>
      </c>
      <c r="AE37" s="51">
        <f t="shared" si="12"/>
        <v>1687.5</v>
      </c>
      <c r="AF37" s="51">
        <f t="shared" si="13"/>
        <v>270</v>
      </c>
      <c r="AG37" s="51">
        <f t="shared" si="2"/>
        <v>29406</v>
      </c>
      <c r="AH37" s="51">
        <f t="shared" si="14"/>
        <v>12129.974999999999</v>
      </c>
      <c r="AI37" s="51">
        <f t="shared" si="15"/>
        <v>17312.782500000001</v>
      </c>
      <c r="AJ37" s="51">
        <f t="shared" si="16"/>
        <v>24248.922749999998</v>
      </c>
      <c r="AK37" s="51">
        <f t="shared" si="26"/>
        <v>24318.935187499992</v>
      </c>
      <c r="AL37" s="51">
        <f t="shared" si="27"/>
        <v>21818.935187499992</v>
      </c>
      <c r="AM37" s="20">
        <v>500</v>
      </c>
      <c r="AN37" s="20">
        <v>500</v>
      </c>
      <c r="AO37" s="20">
        <v>500</v>
      </c>
      <c r="AP37" s="20">
        <v>500</v>
      </c>
      <c r="AQ37" s="20">
        <v>500</v>
      </c>
      <c r="AR37" s="26" t="s">
        <v>91</v>
      </c>
      <c r="AS37" s="52">
        <f>AS36-(H36+AB36+AX36)</f>
        <v>2268</v>
      </c>
      <c r="AT37" s="53">
        <f t="shared" si="28"/>
        <v>6621.5</v>
      </c>
      <c r="AU37" s="53">
        <f t="shared" si="29"/>
        <v>3341.5</v>
      </c>
      <c r="AV37" s="53">
        <f t="shared" si="30"/>
        <v>9952.5</v>
      </c>
      <c r="AW37" s="53">
        <f t="shared" si="31"/>
        <v>2950</v>
      </c>
      <c r="AX37" s="20">
        <f t="shared" si="18"/>
        <v>100</v>
      </c>
      <c r="AY37" s="54">
        <f t="shared" si="19"/>
        <v>100</v>
      </c>
      <c r="AZ37" s="54">
        <f t="shared" si="19"/>
        <v>100</v>
      </c>
      <c r="BA37" s="54">
        <f t="shared" si="19"/>
        <v>100</v>
      </c>
      <c r="BB37" s="54">
        <f t="shared" si="19"/>
        <v>100</v>
      </c>
      <c r="BC37" s="51">
        <f t="shared" si="20"/>
        <v>500</v>
      </c>
      <c r="BD37" s="20"/>
      <c r="BE37" s="55"/>
      <c r="BF37" s="56"/>
      <c r="BG37" s="56"/>
    </row>
    <row r="38" spans="1:59" s="29" customFormat="1" x14ac:dyDescent="0.25">
      <c r="A38" s="23"/>
      <c r="B38" s="23"/>
      <c r="C38" s="23"/>
      <c r="D38" s="23"/>
      <c r="E38" s="23"/>
      <c r="F38" s="23"/>
      <c r="G38" s="23"/>
      <c r="H38" s="23" t="s">
        <v>57</v>
      </c>
      <c r="I38" s="23"/>
      <c r="J38" s="23"/>
      <c r="K38" s="23"/>
      <c r="L38" s="23"/>
      <c r="M38" s="24">
        <f>52*500</f>
        <v>26000</v>
      </c>
      <c r="N38" s="23"/>
      <c r="O38" s="23"/>
      <c r="P38" s="23"/>
      <c r="Q38" s="23"/>
      <c r="R38" s="23">
        <v>0</v>
      </c>
      <c r="S38" s="23"/>
      <c r="T38" s="23"/>
      <c r="U38" s="23"/>
      <c r="V38" s="23"/>
      <c r="W38" s="23">
        <v>0</v>
      </c>
      <c r="X38" s="23"/>
      <c r="Y38" s="23"/>
      <c r="Z38" s="23"/>
      <c r="AA38" s="23"/>
      <c r="AB38" s="25">
        <v>0</v>
      </c>
      <c r="AC38" s="25"/>
      <c r="AD38" s="25"/>
      <c r="AE38" s="25"/>
      <c r="AF38" s="25"/>
      <c r="AG38" s="23"/>
      <c r="AH38" s="23"/>
      <c r="AI38" s="23"/>
      <c r="AJ38" s="23" t="s">
        <v>35</v>
      </c>
      <c r="AK38" s="22">
        <f>SUM(AK2:AK37)</f>
        <v>238905.25987499996</v>
      </c>
      <c r="AL38" s="25"/>
      <c r="AM38" s="23" t="s">
        <v>58</v>
      </c>
      <c r="AN38" s="23"/>
      <c r="AO38" s="23"/>
      <c r="AP38" s="23"/>
      <c r="AQ38" s="23"/>
      <c r="AR38" s="38">
        <v>108</v>
      </c>
      <c r="AS38" s="80" t="s">
        <v>59</v>
      </c>
      <c r="AT38" s="81"/>
      <c r="AU38" s="81"/>
      <c r="AV38" s="81"/>
      <c r="AW38" s="82"/>
      <c r="AX38" s="26">
        <f>SUM(AX2:AX37)</f>
        <v>3600</v>
      </c>
      <c r="AY38" s="26">
        <f>SUM(AY2:AY37)</f>
        <v>2900</v>
      </c>
      <c r="AZ38" s="26">
        <f>SUM(AZ2:AZ37)</f>
        <v>1800</v>
      </c>
      <c r="BA38" s="26">
        <f>SUM(BA2:BA37)</f>
        <v>1600</v>
      </c>
      <c r="BB38" s="26">
        <f>SUM(BB2:BB37)</f>
        <v>6100</v>
      </c>
      <c r="BC38" s="38">
        <f t="shared" si="20"/>
        <v>16000</v>
      </c>
      <c r="BD38" s="27"/>
      <c r="BE38" s="28"/>
    </row>
    <row r="39" spans="1:59" s="30" customFormat="1" ht="15.75" thickBot="1" x14ac:dyDescent="0.3">
      <c r="AB39" s="31"/>
      <c r="AC39" s="31"/>
      <c r="AD39" s="31"/>
      <c r="AE39" s="31"/>
      <c r="AF39" s="31"/>
      <c r="BC39" s="32"/>
      <c r="BD39" s="33"/>
      <c r="BE39" s="33"/>
    </row>
    <row r="40" spans="1:59" ht="18.75" customHeight="1" x14ac:dyDescent="0.35">
      <c r="B40" s="62" t="s">
        <v>75</v>
      </c>
      <c r="C40" s="63"/>
      <c r="D40" s="63"/>
      <c r="E40" s="63"/>
      <c r="F40" s="63"/>
      <c r="G40" s="63"/>
      <c r="H40" s="63"/>
      <c r="I40" s="64"/>
      <c r="J40" s="63"/>
      <c r="K40" s="63"/>
      <c r="L40" s="63"/>
      <c r="M40" s="65"/>
      <c r="N40" s="65"/>
      <c r="O40" s="66"/>
      <c r="P40" s="65"/>
      <c r="Q40" s="65"/>
      <c r="R40" s="63"/>
      <c r="S40" s="67"/>
    </row>
    <row r="41" spans="1:59" ht="18.75" customHeight="1" x14ac:dyDescent="0.35">
      <c r="B41" s="68" t="s">
        <v>80</v>
      </c>
      <c r="C41" s="69"/>
      <c r="D41" s="69"/>
      <c r="E41" s="69"/>
      <c r="F41" s="69"/>
      <c r="G41" s="69"/>
      <c r="H41" s="69"/>
      <c r="I41" s="70"/>
      <c r="J41" s="69"/>
      <c r="K41" s="69"/>
      <c r="L41" s="69"/>
      <c r="M41" s="71"/>
      <c r="N41" s="71"/>
      <c r="O41" s="72"/>
      <c r="P41" s="71"/>
      <c r="Q41" s="71"/>
      <c r="R41" s="69"/>
      <c r="S41" s="73"/>
    </row>
    <row r="42" spans="1:59" ht="21" customHeight="1" x14ac:dyDescent="0.35">
      <c r="B42" s="68" t="s">
        <v>76</v>
      </c>
      <c r="C42" s="69"/>
      <c r="D42" s="69"/>
      <c r="E42" s="69"/>
      <c r="F42" s="69"/>
      <c r="G42" s="69"/>
      <c r="H42" s="69"/>
      <c r="I42" s="70"/>
      <c r="J42" s="69"/>
      <c r="K42" s="69"/>
      <c r="L42" s="69"/>
      <c r="M42" s="71"/>
      <c r="N42" s="71"/>
      <c r="O42" s="72"/>
      <c r="P42" s="71"/>
      <c r="Q42" s="71"/>
      <c r="R42" s="69"/>
      <c r="S42" s="73"/>
    </row>
    <row r="43" spans="1:59" ht="18.75" customHeight="1" x14ac:dyDescent="0.35">
      <c r="B43" s="68" t="s">
        <v>77</v>
      </c>
      <c r="C43" s="69"/>
      <c r="D43" s="69"/>
      <c r="E43" s="69"/>
      <c r="F43" s="69"/>
      <c r="G43" s="69"/>
      <c r="H43" s="69"/>
      <c r="I43" s="70"/>
      <c r="J43" s="69"/>
      <c r="K43" s="69"/>
      <c r="L43" s="69"/>
      <c r="M43" s="71"/>
      <c r="N43" s="71"/>
      <c r="O43" s="72"/>
      <c r="P43" s="71"/>
      <c r="Q43" s="71"/>
      <c r="R43" s="69"/>
      <c r="S43" s="73"/>
    </row>
    <row r="44" spans="1:59" ht="20.25" customHeight="1" x14ac:dyDescent="0.35">
      <c r="B44" s="68" t="s">
        <v>78</v>
      </c>
      <c r="C44" s="69"/>
      <c r="D44" s="69"/>
      <c r="E44" s="69"/>
      <c r="F44" s="69"/>
      <c r="G44" s="69"/>
      <c r="H44" s="69"/>
      <c r="I44" s="70"/>
      <c r="J44" s="69"/>
      <c r="K44" s="69"/>
      <c r="L44" s="69"/>
      <c r="M44" s="71"/>
      <c r="N44" s="71"/>
      <c r="O44" s="72"/>
      <c r="P44" s="71"/>
      <c r="Q44" s="71"/>
      <c r="R44" s="69"/>
      <c r="S44" s="73"/>
    </row>
    <row r="45" spans="1:59" ht="21" customHeight="1" x14ac:dyDescent="0.35">
      <c r="B45" s="68" t="s">
        <v>81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74"/>
    </row>
    <row r="46" spans="1:59" ht="21" x14ac:dyDescent="0.35">
      <c r="B46" s="68" t="s">
        <v>92</v>
      </c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74"/>
    </row>
    <row r="47" spans="1:59" ht="21.75" thickBot="1" x14ac:dyDescent="0.4">
      <c r="B47" s="75" t="s">
        <v>79</v>
      </c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7"/>
    </row>
  </sheetData>
  <mergeCells count="2">
    <mergeCell ref="BD1:BE1"/>
    <mergeCell ref="AS38:AW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USDX 5000-AFF-0.70$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2026-07-27T22:41:36Z</dcterms:created>
  <dcterms:modified xsi:type="dcterms:W3CDTF">2026-07-31T06:50:44Z</dcterms:modified>
</cp:coreProperties>
</file>